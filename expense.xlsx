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usyoos01\Downloads\"/>
    </mc:Choice>
  </mc:AlternateContent>
  <xr:revisionPtr revIDLastSave="8418" documentId="13_ncr:1_{080FACF4-E7DB-438D-90D9-B2DBF57A4CF1}" xr6:coauthVersionLast="47" xr6:coauthVersionMax="47" xr10:uidLastSave="{B01EE15A-06D5-4B56-AAC7-AEA3C3364876}"/>
  <bookViews>
    <workbookView xWindow="23610" yWindow="-16320" windowWidth="29040" windowHeight="15720" tabRatio="744" firstSheet="10" activeTab="10" xr2:uid="{00000000-000D-0000-FFFF-FFFF00000000}"/>
  </bookViews>
  <sheets>
    <sheet name="Graph" sheetId="32" r:id="rId1"/>
    <sheet name="Investment" sheetId="34" r:id="rId2"/>
    <sheet name="Summary" sheetId="3" r:id="rId3"/>
    <sheet name="Children" sheetId="33" r:id="rId4"/>
    <sheet name="Dec" sheetId="31" r:id="rId5"/>
    <sheet name="Nov" sheetId="30" r:id="rId6"/>
    <sheet name="Oct" sheetId="29" r:id="rId7"/>
    <sheet name="Sep" sheetId="28" r:id="rId8"/>
    <sheet name="Aug" sheetId="23" r:id="rId9"/>
    <sheet name="Jul" sheetId="13" r:id="rId10"/>
    <sheet name="Jun " sheetId="11" r:id="rId11"/>
    <sheet name="May " sheetId="10" r:id="rId12"/>
    <sheet name="Apr " sheetId="9" r:id="rId13"/>
    <sheet name="Mar" sheetId="8" r:id="rId14"/>
    <sheet name="Feb" sheetId="7" r:id="rId15"/>
    <sheet name="Jan" sheetId="6" r:id="rId16"/>
  </sheets>
  <definedNames>
    <definedName name="_xlnm._FilterDatabase" localSheetId="8" hidden="1">Aug!$A$3:$R$3</definedName>
    <definedName name="_xlnm._FilterDatabase" localSheetId="14" hidden="1">Feb!$A$3:$AG$3</definedName>
    <definedName name="_xlnm._FilterDatabase" localSheetId="13" hidden="1">Mar!$A$1:$W$33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1" l="1"/>
  <c r="F15" i="11"/>
  <c r="F12" i="11"/>
  <c r="G12" i="11"/>
  <c r="G15" i="11"/>
  <c r="AA17" i="11"/>
  <c r="W64" i="10"/>
  <c r="W61" i="10"/>
  <c r="AA20" i="11"/>
  <c r="AA8" i="11"/>
  <c r="AA18" i="11"/>
  <c r="G16" i="11"/>
  <c r="G43" i="11"/>
  <c r="F43" i="11"/>
  <c r="E43" i="11" s="1"/>
  <c r="E44" i="11" s="1"/>
  <c r="I44" i="11" s="1"/>
  <c r="G54" i="11"/>
  <c r="G50" i="11"/>
  <c r="W62" i="11"/>
  <c r="W58" i="11"/>
  <c r="V46" i="11"/>
  <c r="P46" i="11"/>
  <c r="AA9" i="3"/>
  <c r="AA8" i="3"/>
  <c r="AA6" i="3"/>
  <c r="V60" i="9"/>
  <c r="AE18" i="10"/>
  <c r="AE19" i="10"/>
  <c r="E57" i="10"/>
  <c r="F33" i="10"/>
  <c r="G20" i="10"/>
  <c r="F55" i="10"/>
  <c r="F28" i="10"/>
  <c r="G28" i="10"/>
  <c r="AA20" i="10"/>
  <c r="AA24" i="10"/>
  <c r="AA18" i="10"/>
  <c r="F52" i="10"/>
  <c r="F34" i="10"/>
  <c r="G19" i="10"/>
  <c r="E50" i="10"/>
  <c r="AA8" i="10" s="1"/>
  <c r="F25" i="10"/>
  <c r="F41" i="10"/>
  <c r="G33" i="10"/>
  <c r="F46" i="10"/>
  <c r="G16" i="10"/>
  <c r="F9" i="10"/>
  <c r="AE8" i="10"/>
  <c r="Z6" i="3" s="1"/>
  <c r="F22" i="10"/>
  <c r="F17" i="10"/>
  <c r="F37" i="10"/>
  <c r="F20" i="10"/>
  <c r="E97" i="34"/>
  <c r="E94" i="34"/>
  <c r="E93" i="34"/>
  <c r="D98" i="34"/>
  <c r="C98" i="34"/>
  <c r="H95" i="34"/>
  <c r="F95" i="34"/>
  <c r="G95" i="34" s="1"/>
  <c r="H94" i="34"/>
  <c r="F94" i="34"/>
  <c r="G94" i="34" s="1"/>
  <c r="H93" i="34"/>
  <c r="F93" i="34"/>
  <c r="E89" i="34"/>
  <c r="E90" i="34"/>
  <c r="E91" i="34"/>
  <c r="D91" i="34"/>
  <c r="C91" i="34"/>
  <c r="H90" i="34"/>
  <c r="F90" i="34"/>
  <c r="G90" i="34" s="1"/>
  <c r="H89" i="34"/>
  <c r="F89" i="34"/>
  <c r="G89" i="34" s="1"/>
  <c r="H88" i="34"/>
  <c r="F88" i="34"/>
  <c r="G88" i="34" s="1"/>
  <c r="H87" i="34"/>
  <c r="F87" i="34"/>
  <c r="G87" i="34" s="1"/>
  <c r="H86" i="34"/>
  <c r="F86" i="34"/>
  <c r="E84" i="34"/>
  <c r="D84" i="34"/>
  <c r="C84" i="34"/>
  <c r="H83" i="34"/>
  <c r="F83" i="34"/>
  <c r="G83" i="34" s="1"/>
  <c r="H82" i="34"/>
  <c r="F82" i="34"/>
  <c r="G82" i="34" s="1"/>
  <c r="H81" i="34"/>
  <c r="F81" i="34"/>
  <c r="G81" i="34" s="1"/>
  <c r="H80" i="34"/>
  <c r="F80" i="34"/>
  <c r="G80" i="34" s="1"/>
  <c r="H79" i="34"/>
  <c r="F79" i="34"/>
  <c r="E77" i="34"/>
  <c r="D77" i="34"/>
  <c r="C77" i="34"/>
  <c r="H76" i="34"/>
  <c r="F76" i="34"/>
  <c r="G76" i="34" s="1"/>
  <c r="H75" i="34"/>
  <c r="F75" i="34"/>
  <c r="G75" i="34" s="1"/>
  <c r="H74" i="34"/>
  <c r="F74" i="34"/>
  <c r="G74" i="34" s="1"/>
  <c r="H73" i="34"/>
  <c r="F73" i="34"/>
  <c r="G73" i="34" s="1"/>
  <c r="H72" i="34"/>
  <c r="F72" i="34"/>
  <c r="G72" i="34" s="1"/>
  <c r="H71" i="34"/>
  <c r="F71" i="34"/>
  <c r="E69" i="34"/>
  <c r="D69" i="34"/>
  <c r="C69" i="34"/>
  <c r="H68" i="34"/>
  <c r="F68" i="34"/>
  <c r="G68" i="34" s="1"/>
  <c r="H67" i="34"/>
  <c r="F67" i="34"/>
  <c r="G67" i="34" s="1"/>
  <c r="H66" i="34"/>
  <c r="F66" i="34"/>
  <c r="G66" i="34" s="1"/>
  <c r="H65" i="34"/>
  <c r="F65" i="34"/>
  <c r="G65" i="34" s="1"/>
  <c r="H64" i="34"/>
  <c r="F64" i="34"/>
  <c r="G64" i="34" s="1"/>
  <c r="H63" i="34"/>
  <c r="F63" i="34"/>
  <c r="E61" i="34"/>
  <c r="D61" i="34"/>
  <c r="C61" i="34"/>
  <c r="H60" i="34"/>
  <c r="F60" i="34"/>
  <c r="G60" i="34" s="1"/>
  <c r="H59" i="34"/>
  <c r="F59" i="34"/>
  <c r="G59" i="34" s="1"/>
  <c r="H58" i="34"/>
  <c r="F58" i="34"/>
  <c r="G58" i="34" s="1"/>
  <c r="H57" i="34"/>
  <c r="F57" i="34"/>
  <c r="G57" i="34" s="1"/>
  <c r="H56" i="34"/>
  <c r="F56" i="34"/>
  <c r="G56" i="34" s="1"/>
  <c r="H55" i="34"/>
  <c r="F55" i="34"/>
  <c r="G55" i="34" s="1"/>
  <c r="H54" i="34"/>
  <c r="F54" i="34"/>
  <c r="G54" i="34" s="1"/>
  <c r="H53" i="34"/>
  <c r="F53" i="34"/>
  <c r="F49" i="34"/>
  <c r="F48" i="34"/>
  <c r="F47" i="34"/>
  <c r="F45" i="34"/>
  <c r="F44" i="34"/>
  <c r="C51" i="34"/>
  <c r="F43" i="34"/>
  <c r="D51" i="34"/>
  <c r="H49" i="34"/>
  <c r="G49" i="34"/>
  <c r="H48" i="34"/>
  <c r="G48" i="34"/>
  <c r="H47" i="34"/>
  <c r="G47" i="34"/>
  <c r="H45" i="34"/>
  <c r="G45" i="34"/>
  <c r="H44" i="34"/>
  <c r="G44" i="34"/>
  <c r="H43" i="34"/>
  <c r="G43" i="34"/>
  <c r="H41" i="34"/>
  <c r="H40" i="34"/>
  <c r="H39" i="34"/>
  <c r="H38" i="34"/>
  <c r="H37" i="34"/>
  <c r="H36" i="34"/>
  <c r="H35" i="34"/>
  <c r="H34" i="34"/>
  <c r="H33" i="34"/>
  <c r="H31" i="34"/>
  <c r="H30" i="34"/>
  <c r="H29" i="34"/>
  <c r="H28" i="34"/>
  <c r="H27" i="34"/>
  <c r="H26" i="34"/>
  <c r="H25" i="34"/>
  <c r="H24" i="34"/>
  <c r="H23" i="34"/>
  <c r="H22" i="34"/>
  <c r="H20" i="34"/>
  <c r="H19" i="34"/>
  <c r="H18" i="34"/>
  <c r="H17" i="34"/>
  <c r="H16" i="34"/>
  <c r="H15" i="34"/>
  <c r="H14" i="34"/>
  <c r="G41" i="34"/>
  <c r="G40" i="34"/>
  <c r="G39" i="34"/>
  <c r="G38" i="34"/>
  <c r="G37" i="34"/>
  <c r="G36" i="34"/>
  <c r="G35" i="34"/>
  <c r="G34" i="34"/>
  <c r="G33" i="34"/>
  <c r="G31" i="34"/>
  <c r="G30" i="34"/>
  <c r="G29" i="34"/>
  <c r="G28" i="34"/>
  <c r="G27" i="34"/>
  <c r="G26" i="34"/>
  <c r="G25" i="34"/>
  <c r="G24" i="34"/>
  <c r="G23" i="34"/>
  <c r="G22" i="34"/>
  <c r="G20" i="34"/>
  <c r="G19" i="34"/>
  <c r="G18" i="34"/>
  <c r="G17" i="34"/>
  <c r="G16" i="34"/>
  <c r="G15" i="34"/>
  <c r="G14" i="34"/>
  <c r="H13" i="34"/>
  <c r="G13" i="34"/>
  <c r="AC4" i="3"/>
  <c r="Y8" i="3"/>
  <c r="Y9" i="3"/>
  <c r="Y7" i="3"/>
  <c r="AA17" i="10"/>
  <c r="D10" i="34"/>
  <c r="C10" i="34"/>
  <c r="E9" i="34"/>
  <c r="D9" i="34"/>
  <c r="C9" i="34"/>
  <c r="E8" i="34"/>
  <c r="D8" i="34"/>
  <c r="C8" i="34"/>
  <c r="E7" i="34"/>
  <c r="D7" i="34"/>
  <c r="C7" i="34"/>
  <c r="E6" i="34"/>
  <c r="D6" i="34"/>
  <c r="C6" i="34"/>
  <c r="H5" i="34"/>
  <c r="G5" i="34"/>
  <c r="F5" i="34"/>
  <c r="E5" i="34"/>
  <c r="D5" i="34"/>
  <c r="C5" i="34"/>
  <c r="H4" i="34"/>
  <c r="G4" i="34"/>
  <c r="F4" i="34"/>
  <c r="E4" i="34"/>
  <c r="D4" i="34"/>
  <c r="C4" i="34"/>
  <c r="W59" i="9"/>
  <c r="F14" i="10"/>
  <c r="G60" i="10"/>
  <c r="F60" i="10"/>
  <c r="E60" i="10" s="1"/>
  <c r="E61" i="10"/>
  <c r="AA19" i="10"/>
  <c r="Z5" i="3"/>
  <c r="AE9" i="9"/>
  <c r="AE7" i="9"/>
  <c r="F54" i="9"/>
  <c r="F52" i="9"/>
  <c r="F16" i="9"/>
  <c r="E47" i="9"/>
  <c r="G20" i="9"/>
  <c r="E45" i="9"/>
  <c r="F30" i="9"/>
  <c r="F23" i="9"/>
  <c r="AA17" i="9"/>
  <c r="F43" i="9"/>
  <c r="G32" i="9"/>
  <c r="E40" i="9"/>
  <c r="AA8" i="9" s="1"/>
  <c r="F31" i="9"/>
  <c r="G31" i="9"/>
  <c r="AA20" i="9"/>
  <c r="G12" i="9"/>
  <c r="F17" i="9"/>
  <c r="AA16" i="9" s="1"/>
  <c r="AA18" i="9"/>
  <c r="F32" i="9"/>
  <c r="AE8" i="9"/>
  <c r="AE37" i="3"/>
  <c r="G29" i="9"/>
  <c r="F20" i="9"/>
  <c r="F19" i="9"/>
  <c r="Z8" i="3"/>
  <c r="E11" i="9"/>
  <c r="AA19" i="8"/>
  <c r="AA23" i="9"/>
  <c r="AA24" i="9"/>
  <c r="F64" i="8"/>
  <c r="G65" i="8"/>
  <c r="G58" i="9"/>
  <c r="F58" i="9"/>
  <c r="E58" i="9" s="1"/>
  <c r="E59" i="9"/>
  <c r="F65" i="8"/>
  <c r="I64" i="8"/>
  <c r="F52" i="8"/>
  <c r="AA8" i="8"/>
  <c r="F53" i="8"/>
  <c r="F37" i="8"/>
  <c r="G40" i="8"/>
  <c r="F48" i="8"/>
  <c r="F45" i="8"/>
  <c r="E17" i="8"/>
  <c r="AA16" i="8"/>
  <c r="AA17" i="8"/>
  <c r="AA12" i="8"/>
  <c r="AA8" i="7"/>
  <c r="AA20" i="7"/>
  <c r="AA10" i="7"/>
  <c r="AA16" i="7"/>
  <c r="AE8" i="8"/>
  <c r="F36" i="8"/>
  <c r="G31" i="8"/>
  <c r="G135" i="32"/>
  <c r="G147" i="32"/>
  <c r="AA18" i="8"/>
  <c r="F18" i="8"/>
  <c r="G11" i="8"/>
  <c r="G12" i="8"/>
  <c r="AE19" i="7"/>
  <c r="AE20" i="7"/>
  <c r="W52" i="7"/>
  <c r="F15" i="8"/>
  <c r="G18" i="8"/>
  <c r="AA24" i="8"/>
  <c r="AA4" i="3"/>
  <c r="AE15" i="7"/>
  <c r="F47" i="7"/>
  <c r="AA20" i="8"/>
  <c r="G67" i="8"/>
  <c r="F67" i="8"/>
  <c r="E67" i="8" s="1"/>
  <c r="E68" i="8" s="1"/>
  <c r="F25" i="7"/>
  <c r="E39" i="7"/>
  <c r="G40" i="7"/>
  <c r="G38" i="7"/>
  <c r="G26" i="7"/>
  <c r="AE8" i="7"/>
  <c r="G25" i="7"/>
  <c r="F30" i="7"/>
  <c r="E23" i="7"/>
  <c r="G14" i="7"/>
  <c r="W64" i="6"/>
  <c r="F16" i="7"/>
  <c r="F14" i="7"/>
  <c r="F15" i="7"/>
  <c r="AA18" i="7"/>
  <c r="AA24" i="7"/>
  <c r="AE19" i="6"/>
  <c r="AE17" i="6"/>
  <c r="AE18" i="6"/>
  <c r="AE15" i="6"/>
  <c r="G59" i="6"/>
  <c r="G51" i="7"/>
  <c r="F51" i="7"/>
  <c r="E51" i="7"/>
  <c r="G52" i="6"/>
  <c r="AA5" i="7"/>
  <c r="AA6" i="7"/>
  <c r="AA7" i="7"/>
  <c r="AA9" i="7"/>
  <c r="AA11" i="7"/>
  <c r="AA12" i="7"/>
  <c r="AA13" i="7"/>
  <c r="AA14" i="7"/>
  <c r="AA15" i="7"/>
  <c r="AA17" i="7"/>
  <c r="AA19" i="7"/>
  <c r="AA21" i="7"/>
  <c r="AA22" i="7"/>
  <c r="AA23" i="7"/>
  <c r="E50" i="6"/>
  <c r="S53" i="7"/>
  <c r="F52" i="6"/>
  <c r="AA21" i="6"/>
  <c r="AA20" i="6"/>
  <c r="AA17" i="6"/>
  <c r="AA12" i="6"/>
  <c r="F53" i="6"/>
  <c r="E47" i="6"/>
  <c r="F21" i="6"/>
  <c r="F42" i="6"/>
  <c r="G21" i="6"/>
  <c r="AE7" i="6"/>
  <c r="E42" i="6"/>
  <c r="F23" i="6"/>
  <c r="AA16" i="6" s="1"/>
  <c r="F41" i="6"/>
  <c r="E33" i="6"/>
  <c r="AA8" i="6" s="1"/>
  <c r="W65" i="6"/>
  <c r="F16" i="6"/>
  <c r="F40" i="6"/>
  <c r="G19" i="6"/>
  <c r="F19" i="6"/>
  <c r="G30" i="6"/>
  <c r="AE9" i="6"/>
  <c r="F24" i="6"/>
  <c r="AA10" i="6" s="1"/>
  <c r="F147" i="32"/>
  <c r="AE8" i="6"/>
  <c r="AA24" i="6"/>
  <c r="T25" i="32"/>
  <c r="G16" i="6"/>
  <c r="AA18" i="6"/>
  <c r="E5" i="6"/>
  <c r="F11" i="6"/>
  <c r="AE20" i="6"/>
  <c r="U25" i="32"/>
  <c r="G63" i="6"/>
  <c r="F63" i="6"/>
  <c r="E63" i="6"/>
  <c r="E64" i="6"/>
  <c r="AA24" i="30"/>
  <c r="Z24" i="30"/>
  <c r="AB24" i="30" s="1"/>
  <c r="AP41" i="3"/>
  <c r="S39" i="31"/>
  <c r="S36" i="30"/>
  <c r="S48" i="29"/>
  <c r="S37" i="23"/>
  <c r="S42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I17" i="33"/>
  <c r="D5" i="33"/>
  <c r="D17" i="33" s="1"/>
  <c r="D19" i="33" s="1"/>
  <c r="F45" i="3"/>
  <c r="AA19" i="6"/>
  <c r="AA9" i="6"/>
  <c r="F136" i="32"/>
  <c r="F137" i="32"/>
  <c r="F138" i="32"/>
  <c r="F139" i="32"/>
  <c r="F140" i="32"/>
  <c r="F141" i="32"/>
  <c r="F142" i="32"/>
  <c r="F143" i="32"/>
  <c r="F144" i="32"/>
  <c r="F145" i="32"/>
  <c r="F146" i="32"/>
  <c r="J89" i="3"/>
  <c r="F89" i="3"/>
  <c r="E89" i="3"/>
  <c r="G89" i="3" s="1"/>
  <c r="F88" i="3"/>
  <c r="E88" i="3"/>
  <c r="G88" i="3" s="1"/>
  <c r="F87" i="3"/>
  <c r="E87" i="3"/>
  <c r="G87" i="3" s="1"/>
  <c r="F86" i="3"/>
  <c r="E86" i="3"/>
  <c r="G86" i="3" s="1"/>
  <c r="F85" i="3"/>
  <c r="E85" i="3"/>
  <c r="G85" i="3" s="1"/>
  <c r="F84" i="3"/>
  <c r="E84" i="3"/>
  <c r="G84" i="3" s="1"/>
  <c r="F83" i="3"/>
  <c r="E83" i="3"/>
  <c r="G83" i="3" s="1"/>
  <c r="F82" i="3"/>
  <c r="E82" i="3"/>
  <c r="G82" i="3" s="1"/>
  <c r="F81" i="3"/>
  <c r="E81" i="3"/>
  <c r="G81" i="3" s="1"/>
  <c r="F80" i="3"/>
  <c r="E80" i="3"/>
  <c r="G80" i="3" s="1"/>
  <c r="F79" i="3"/>
  <c r="E79" i="3"/>
  <c r="G79" i="3" s="1"/>
  <c r="F78" i="3"/>
  <c r="E78" i="3"/>
  <c r="G78" i="3" s="1"/>
  <c r="F77" i="3"/>
  <c r="E77" i="3"/>
  <c r="G77" i="3" s="1"/>
  <c r="F76" i="3"/>
  <c r="E76" i="3"/>
  <c r="G76" i="3" s="1"/>
  <c r="F75" i="3"/>
  <c r="E75" i="3"/>
  <c r="G75" i="3" s="1"/>
  <c r="F74" i="3"/>
  <c r="E74" i="3"/>
  <c r="G74" i="3" s="1"/>
  <c r="F73" i="3"/>
  <c r="E73" i="3"/>
  <c r="G73" i="3" s="1"/>
  <c r="F72" i="3"/>
  <c r="E72" i="3"/>
  <c r="G72" i="3" s="1"/>
  <c r="F71" i="3"/>
  <c r="E71" i="3"/>
  <c r="G71" i="3" s="1"/>
  <c r="F70" i="3"/>
  <c r="E70" i="3"/>
  <c r="G70" i="3" s="1"/>
  <c r="F69" i="3"/>
  <c r="F90" i="3" s="1"/>
  <c r="E69" i="3"/>
  <c r="E90" i="3" s="1"/>
  <c r="G87" i="32"/>
  <c r="G123" i="32"/>
  <c r="G111" i="32"/>
  <c r="G99" i="32"/>
  <c r="G75" i="32"/>
  <c r="G63" i="32"/>
  <c r="G51" i="32"/>
  <c r="G39" i="32"/>
  <c r="G27" i="32"/>
  <c r="G15" i="32"/>
  <c r="F135" i="32"/>
  <c r="F134" i="32"/>
  <c r="F133" i="32"/>
  <c r="F132" i="32"/>
  <c r="F131" i="32"/>
  <c r="F130" i="32"/>
  <c r="F129" i="32"/>
  <c r="F128" i="32"/>
  <c r="F127" i="32"/>
  <c r="F126" i="32"/>
  <c r="F125" i="32"/>
  <c r="F124" i="32"/>
  <c r="F123" i="32"/>
  <c r="F122" i="32"/>
  <c r="F121" i="32"/>
  <c r="F120" i="32"/>
  <c r="F119" i="32"/>
  <c r="F118" i="32"/>
  <c r="F117" i="32"/>
  <c r="F116" i="32"/>
  <c r="F115" i="32"/>
  <c r="F114" i="32"/>
  <c r="F113" i="32"/>
  <c r="F112" i="32"/>
  <c r="F111" i="32"/>
  <c r="F110" i="32"/>
  <c r="F109" i="32"/>
  <c r="F108" i="32"/>
  <c r="F107" i="32"/>
  <c r="F106" i="32"/>
  <c r="F105" i="32"/>
  <c r="F104" i="32"/>
  <c r="F103" i="32"/>
  <c r="F102" i="32"/>
  <c r="F101" i="32"/>
  <c r="F100" i="32"/>
  <c r="F99" i="32"/>
  <c r="F98" i="32"/>
  <c r="F97" i="32"/>
  <c r="F96" i="32"/>
  <c r="F95" i="32"/>
  <c r="F94" i="32"/>
  <c r="F93" i="32"/>
  <c r="F92" i="32"/>
  <c r="F91" i="32"/>
  <c r="F90" i="32"/>
  <c r="F89" i="32"/>
  <c r="F88" i="32"/>
  <c r="F87" i="32"/>
  <c r="F86" i="32"/>
  <c r="F85" i="32"/>
  <c r="F84" i="32"/>
  <c r="F83" i="32"/>
  <c r="F82" i="32"/>
  <c r="F81" i="32"/>
  <c r="F80" i="32"/>
  <c r="F79" i="32"/>
  <c r="F78" i="32"/>
  <c r="F77" i="32"/>
  <c r="F76" i="32"/>
  <c r="F75" i="32"/>
  <c r="F74" i="32"/>
  <c r="F73" i="32"/>
  <c r="F72" i="32"/>
  <c r="F71" i="32"/>
  <c r="F70" i="32"/>
  <c r="F69" i="32"/>
  <c r="F68" i="32"/>
  <c r="F67" i="32"/>
  <c r="F66" i="32"/>
  <c r="F65" i="32"/>
  <c r="F64" i="32"/>
  <c r="F63" i="32"/>
  <c r="F62" i="32"/>
  <c r="F61" i="32"/>
  <c r="F60" i="32"/>
  <c r="F59" i="32"/>
  <c r="F58" i="32"/>
  <c r="F57" i="32"/>
  <c r="F56" i="32"/>
  <c r="F55" i="32"/>
  <c r="F54" i="32"/>
  <c r="F53" i="32"/>
  <c r="F52" i="32"/>
  <c r="F51" i="32"/>
  <c r="F50" i="32"/>
  <c r="F49" i="32"/>
  <c r="F48" i="32"/>
  <c r="F47" i="32"/>
  <c r="F46" i="32"/>
  <c r="F45" i="32"/>
  <c r="F44" i="32"/>
  <c r="F43" i="32"/>
  <c r="F42" i="32"/>
  <c r="F41" i="32"/>
  <c r="F40" i="32"/>
  <c r="F39" i="32"/>
  <c r="F38" i="32"/>
  <c r="F37" i="32"/>
  <c r="F36" i="32"/>
  <c r="F35" i="32"/>
  <c r="F34" i="32"/>
  <c r="F33" i="32"/>
  <c r="F32" i="32"/>
  <c r="F31" i="32"/>
  <c r="F30" i="32"/>
  <c r="F29" i="32"/>
  <c r="F28" i="32"/>
  <c r="F27" i="32"/>
  <c r="F26" i="32"/>
  <c r="F25" i="32"/>
  <c r="F24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8" i="32"/>
  <c r="F7" i="32"/>
  <c r="F6" i="32"/>
  <c r="F5" i="32"/>
  <c r="S45" i="11"/>
  <c r="AE6" i="9"/>
  <c r="AA21" i="9"/>
  <c r="AA22" i="9"/>
  <c r="D60" i="9"/>
  <c r="AE20" i="8"/>
  <c r="S60" i="9"/>
  <c r="AA5" i="8"/>
  <c r="AA6" i="8"/>
  <c r="AA7" i="8"/>
  <c r="AA9" i="8"/>
  <c r="AA10" i="8"/>
  <c r="AA11" i="8"/>
  <c r="AA13" i="8"/>
  <c r="AA14" i="8"/>
  <c r="AA15" i="8"/>
  <c r="AA21" i="8"/>
  <c r="AA22" i="8"/>
  <c r="AA23" i="8"/>
  <c r="AA4" i="8"/>
  <c r="S69" i="8"/>
  <c r="W53" i="7"/>
  <c r="AE18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4" i="7"/>
  <c r="V65" i="6"/>
  <c r="H65" i="6"/>
  <c r="J5" i="3"/>
  <c r="AB24" i="7"/>
  <c r="L41" i="3"/>
  <c r="Z24" i="6"/>
  <c r="U65" i="6"/>
  <c r="T65" i="6"/>
  <c r="S65" i="6"/>
  <c r="R65" i="6"/>
  <c r="Q65" i="6"/>
  <c r="P65" i="6"/>
  <c r="AE21" i="6"/>
  <c r="H4" i="3" s="1"/>
  <c r="AE11" i="6"/>
  <c r="Y10" i="3"/>
  <c r="Y6" i="3"/>
  <c r="Y5" i="3"/>
  <c r="Y4" i="3"/>
  <c r="AB4" i="3" s="1"/>
  <c r="AB8" i="3"/>
  <c r="F8" i="34" s="1"/>
  <c r="AC8" i="3"/>
  <c r="G8" i="34" s="1"/>
  <c r="AD8" i="3"/>
  <c r="H8" i="34" s="1"/>
  <c r="J65" i="3"/>
  <c r="E65" i="3"/>
  <c r="E64" i="3"/>
  <c r="E63" i="3"/>
  <c r="E62" i="3"/>
  <c r="E61" i="3"/>
  <c r="F60" i="3"/>
  <c r="E60" i="3"/>
  <c r="F59" i="3"/>
  <c r="E59" i="3"/>
  <c r="E58" i="3"/>
  <c r="F57" i="3"/>
  <c r="E57" i="3"/>
  <c r="E56" i="3"/>
  <c r="E55" i="3"/>
  <c r="E54" i="3"/>
  <c r="F53" i="3"/>
  <c r="E53" i="3"/>
  <c r="G53" i="3"/>
  <c r="E52" i="3"/>
  <c r="E51" i="3"/>
  <c r="E50" i="3"/>
  <c r="F49" i="3"/>
  <c r="E49" i="3"/>
  <c r="G49" i="3"/>
  <c r="E48" i="3"/>
  <c r="F47" i="3"/>
  <c r="E47" i="3"/>
  <c r="G47" i="3"/>
  <c r="F46" i="3"/>
  <c r="E46" i="3"/>
  <c r="E45" i="3"/>
  <c r="AA5" i="6"/>
  <c r="AA6" i="6"/>
  <c r="AA7" i="6"/>
  <c r="L25" i="3"/>
  <c r="L314" i="3"/>
  <c r="AA11" i="6"/>
  <c r="L29" i="3"/>
  <c r="L318" i="3"/>
  <c r="AA13" i="6"/>
  <c r="AA14" i="6"/>
  <c r="L31" i="3"/>
  <c r="L320" i="3"/>
  <c r="AA15" i="6"/>
  <c r="L32" i="3"/>
  <c r="L35" i="3"/>
  <c r="L324" i="3"/>
  <c r="AA22" i="6"/>
  <c r="L39" i="3"/>
  <c r="AA23" i="6"/>
  <c r="L40" i="3"/>
  <c r="L329" i="3"/>
  <c r="O31" i="3"/>
  <c r="O320" i="3"/>
  <c r="O32" i="3"/>
  <c r="O321" i="3"/>
  <c r="O33" i="3"/>
  <c r="O322" i="3"/>
  <c r="R28" i="3"/>
  <c r="R317" i="3"/>
  <c r="R29" i="3"/>
  <c r="R318" i="3"/>
  <c r="R31" i="3"/>
  <c r="R320" i="3"/>
  <c r="R37" i="3"/>
  <c r="R326" i="3"/>
  <c r="AA5" i="9"/>
  <c r="AA6" i="9"/>
  <c r="AA7" i="9"/>
  <c r="AA9" i="9"/>
  <c r="U26" i="3"/>
  <c r="U315" i="3"/>
  <c r="AA10" i="9"/>
  <c r="AA11" i="9"/>
  <c r="U28" i="3"/>
  <c r="U317" i="3"/>
  <c r="AA12" i="9"/>
  <c r="AA13" i="9"/>
  <c r="U30" i="3"/>
  <c r="U319" i="3"/>
  <c r="AA14" i="9"/>
  <c r="U31" i="3"/>
  <c r="U320" i="3"/>
  <c r="AA15" i="9"/>
  <c r="U33" i="3"/>
  <c r="U322" i="3"/>
  <c r="AA19" i="9"/>
  <c r="U38" i="3"/>
  <c r="U327" i="3"/>
  <c r="U40" i="3"/>
  <c r="U329" i="3"/>
  <c r="U41" i="3"/>
  <c r="U330" i="3"/>
  <c r="AA5" i="10"/>
  <c r="AA6" i="10"/>
  <c r="AA7" i="10"/>
  <c r="AA9" i="10"/>
  <c r="AA10" i="10"/>
  <c r="AA11" i="10"/>
  <c r="X28" i="3"/>
  <c r="X317" i="3"/>
  <c r="AA12" i="10"/>
  <c r="AA13" i="10"/>
  <c r="AA14" i="10"/>
  <c r="X31" i="3"/>
  <c r="X320" i="3"/>
  <c r="AA15" i="10"/>
  <c r="AA16" i="10"/>
  <c r="X33" i="3"/>
  <c r="X322" i="3"/>
  <c r="AA21" i="10"/>
  <c r="AA22" i="10"/>
  <c r="AA23" i="10"/>
  <c r="AA5" i="11"/>
  <c r="AA6" i="11"/>
  <c r="AA7" i="11"/>
  <c r="AA9" i="11"/>
  <c r="AA10" i="11"/>
  <c r="AA11" i="11"/>
  <c r="AA28" i="3"/>
  <c r="AA317" i="3"/>
  <c r="AA12" i="11"/>
  <c r="AA13" i="11"/>
  <c r="AA30" i="3"/>
  <c r="AA319" i="3"/>
  <c r="AA14" i="11"/>
  <c r="AA15" i="11"/>
  <c r="AA16" i="11"/>
  <c r="AA33" i="3"/>
  <c r="AA322" i="3"/>
  <c r="AA35" i="3"/>
  <c r="AA324" i="3"/>
  <c r="AA19" i="11"/>
  <c r="AA21" i="11"/>
  <c r="AA22" i="11"/>
  <c r="AA23" i="11"/>
  <c r="AA24" i="11"/>
  <c r="Y42" i="13"/>
  <c r="W42" i="13"/>
  <c r="V42" i="13"/>
  <c r="U42" i="13"/>
  <c r="T42" i="13"/>
  <c r="R42" i="13"/>
  <c r="Q42" i="13"/>
  <c r="P42" i="13"/>
  <c r="W50" i="13"/>
  <c r="O42" i="13"/>
  <c r="N42" i="13"/>
  <c r="R10" i="3"/>
  <c r="M42" i="13"/>
  <c r="Q10" i="3"/>
  <c r="L42" i="13"/>
  <c r="P10" i="3"/>
  <c r="K42" i="13"/>
  <c r="J42" i="13"/>
  <c r="I42" i="13"/>
  <c r="H42" i="13"/>
  <c r="G42" i="13"/>
  <c r="F42" i="13"/>
  <c r="E42" i="13"/>
  <c r="D42" i="13"/>
  <c r="AA5" i="23"/>
  <c r="AA6" i="23"/>
  <c r="AA7" i="23"/>
  <c r="AA8" i="23"/>
  <c r="AA9" i="23"/>
  <c r="AA10" i="23"/>
  <c r="AG27" i="3"/>
  <c r="AG316" i="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S114" i="3"/>
  <c r="AG36" i="3"/>
  <c r="AG325" i="3"/>
  <c r="F37" i="23"/>
  <c r="AG41" i="3"/>
  <c r="AG330" i="3"/>
  <c r="Z24" i="23"/>
  <c r="AD41" i="3"/>
  <c r="AD330" i="3"/>
  <c r="Z24" i="13"/>
  <c r="AB24" i="13"/>
  <c r="AD39" i="3"/>
  <c r="AD328" i="3"/>
  <c r="AD25" i="3"/>
  <c r="AD314" i="3"/>
  <c r="AE14" i="9"/>
  <c r="AE17" i="7"/>
  <c r="AE16" i="10"/>
  <c r="AE14" i="11"/>
  <c r="AE17" i="9"/>
  <c r="AE17" i="10"/>
  <c r="AE15" i="11"/>
  <c r="AE16" i="11"/>
  <c r="AE18" i="9"/>
  <c r="AE19" i="9"/>
  <c r="AE20" i="10"/>
  <c r="AA10" i="3" s="1"/>
  <c r="E10" i="34" s="1"/>
  <c r="AE17" i="11"/>
  <c r="AD7" i="3"/>
  <c r="H7" i="34" s="1"/>
  <c r="AE10" i="9"/>
  <c r="AE16" i="23"/>
  <c r="AE17" i="23"/>
  <c r="AE18" i="23"/>
  <c r="AE14" i="23"/>
  <c r="AE15" i="23"/>
  <c r="AA25" i="3"/>
  <c r="AA314" i="3"/>
  <c r="AE20" i="13"/>
  <c r="H10" i="3"/>
  <c r="D45" i="11"/>
  <c r="E45" i="11"/>
  <c r="F45" i="11"/>
  <c r="G45" i="11"/>
  <c r="H45" i="11"/>
  <c r="I45" i="11"/>
  <c r="J45" i="11"/>
  <c r="Z24" i="11"/>
  <c r="P45" i="11"/>
  <c r="Q45" i="11"/>
  <c r="T45" i="11"/>
  <c r="U45" i="11"/>
  <c r="V45" i="11"/>
  <c r="W45" i="11"/>
  <c r="O41" i="3"/>
  <c r="J25" i="32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93" i="3"/>
  <c r="X37" i="3"/>
  <c r="X326" i="3"/>
  <c r="Z24" i="10"/>
  <c r="U25" i="3"/>
  <c r="U314" i="3"/>
  <c r="U35" i="3"/>
  <c r="U324" i="3"/>
  <c r="R21" i="3"/>
  <c r="R310" i="3"/>
  <c r="Z24" i="9"/>
  <c r="AB24" i="9"/>
  <c r="AR42" i="3"/>
  <c r="D15" i="3"/>
  <c r="AO42" i="3"/>
  <c r="D14" i="3"/>
  <c r="AL42" i="3"/>
  <c r="D13" i="3"/>
  <c r="AI42" i="3"/>
  <c r="AF42" i="3"/>
  <c r="AC42" i="3"/>
  <c r="Z42" i="3"/>
  <c r="D9" i="3"/>
  <c r="W42" i="3"/>
  <c r="T42" i="3"/>
  <c r="Q42" i="3"/>
  <c r="N42" i="3"/>
  <c r="K42" i="3"/>
  <c r="D4" i="3" s="1"/>
  <c r="Z23" i="8"/>
  <c r="O37" i="3"/>
  <c r="O326" i="3"/>
  <c r="O25" i="3"/>
  <c r="O314" i="3"/>
  <c r="P53" i="7"/>
  <c r="Q53" i="7"/>
  <c r="R53" i="7"/>
  <c r="T53" i="7"/>
  <c r="U53" i="7"/>
  <c r="V53" i="7"/>
  <c r="O36" i="3"/>
  <c r="O325" i="3"/>
  <c r="AA4" i="7"/>
  <c r="O35" i="3"/>
  <c r="O324" i="3"/>
  <c r="Z24" i="8"/>
  <c r="AS41" i="3"/>
  <c r="AP330" i="3"/>
  <c r="AM41" i="3"/>
  <c r="AM330" i="3"/>
  <c r="AJ41" i="3"/>
  <c r="AJ330" i="3"/>
  <c r="J41" i="3"/>
  <c r="E41" i="3"/>
  <c r="AQ41" i="3"/>
  <c r="AN41" i="3"/>
  <c r="S25" i="32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L37" i="3"/>
  <c r="G287" i="3"/>
  <c r="F287" i="3"/>
  <c r="E287" i="3"/>
  <c r="G225" i="3"/>
  <c r="F225" i="3"/>
  <c r="E225" i="3"/>
  <c r="F159" i="3"/>
  <c r="E159" i="3"/>
  <c r="F158" i="3"/>
  <c r="E158" i="3"/>
  <c r="F157" i="3"/>
  <c r="E157" i="3"/>
  <c r="G157" i="3"/>
  <c r="F156" i="3"/>
  <c r="E156" i="3"/>
  <c r="G156" i="3"/>
  <c r="F155" i="3"/>
  <c r="E155" i="3"/>
  <c r="F154" i="3"/>
  <c r="E154" i="3"/>
  <c r="G154" i="3"/>
  <c r="F153" i="3"/>
  <c r="E153" i="3"/>
  <c r="F152" i="3"/>
  <c r="E152" i="3"/>
  <c r="F151" i="3"/>
  <c r="E151" i="3"/>
  <c r="F150" i="3"/>
  <c r="E150" i="3"/>
  <c r="G150" i="3"/>
  <c r="F149" i="3"/>
  <c r="E149" i="3"/>
  <c r="G149" i="3"/>
  <c r="F148" i="3"/>
  <c r="E148" i="3"/>
  <c r="F147" i="3"/>
  <c r="E147" i="3"/>
  <c r="F146" i="3"/>
  <c r="E146" i="3"/>
  <c r="F145" i="3"/>
  <c r="E145" i="3"/>
  <c r="G145" i="3"/>
  <c r="F144" i="3"/>
  <c r="E144" i="3"/>
  <c r="F143" i="3"/>
  <c r="E143" i="3"/>
  <c r="F142" i="3"/>
  <c r="E142" i="3"/>
  <c r="F141" i="3"/>
  <c r="E141" i="3"/>
  <c r="F140" i="3"/>
  <c r="E140" i="3"/>
  <c r="G137" i="3"/>
  <c r="F136" i="3"/>
  <c r="F137" i="3"/>
  <c r="E136" i="3"/>
  <c r="E137" i="3"/>
  <c r="AT287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J205" i="3"/>
  <c r="AS204" i="3"/>
  <c r="AT204" i="3"/>
  <c r="J183" i="3"/>
  <c r="K161" i="3"/>
  <c r="J161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38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15" i="3"/>
  <c r="AA4" i="30"/>
  <c r="AA5" i="29"/>
  <c r="AA6" i="29"/>
  <c r="AA7" i="29"/>
  <c r="AA8" i="29"/>
  <c r="AA9" i="29"/>
  <c r="AA10" i="29"/>
  <c r="AA11" i="29"/>
  <c r="AA12" i="29"/>
  <c r="AA13" i="29"/>
  <c r="AA14" i="29"/>
  <c r="AA15" i="29"/>
  <c r="AA16" i="29"/>
  <c r="AA17" i="29"/>
  <c r="AA18" i="29"/>
  <c r="AA19" i="29"/>
  <c r="AA20" i="29"/>
  <c r="AA21" i="29"/>
  <c r="AA22" i="29"/>
  <c r="AA23" i="29"/>
  <c r="AA5" i="28"/>
  <c r="AA6" i="28"/>
  <c r="AA7" i="28"/>
  <c r="AA8" i="28"/>
  <c r="AA9" i="28"/>
  <c r="AA10" i="28"/>
  <c r="AA11" i="28"/>
  <c r="AA12" i="28"/>
  <c r="AA13" i="28"/>
  <c r="AA14" i="28"/>
  <c r="AA15" i="28"/>
  <c r="AA16" i="28"/>
  <c r="AA17" i="28"/>
  <c r="AA18" i="28"/>
  <c r="AA19" i="28"/>
  <c r="AA20" i="28"/>
  <c r="AA21" i="28"/>
  <c r="AA22" i="28"/>
  <c r="AA23" i="28"/>
  <c r="D37" i="23"/>
  <c r="AG23" i="3"/>
  <c r="AG312" i="3"/>
  <c r="AG31" i="3"/>
  <c r="AG320" i="3"/>
  <c r="AG32" i="3"/>
  <c r="AG40" i="3"/>
  <c r="AG329" i="3"/>
  <c r="AD23" i="3"/>
  <c r="AD312" i="3"/>
  <c r="AD24" i="3"/>
  <c r="AD313" i="3"/>
  <c r="AD29" i="3"/>
  <c r="AD318" i="3"/>
  <c r="AD31" i="3"/>
  <c r="AD320" i="3"/>
  <c r="AD32" i="3"/>
  <c r="AD321" i="3"/>
  <c r="AD38" i="3"/>
  <c r="AD327" i="3"/>
  <c r="AD40" i="3"/>
  <c r="AD329" i="3"/>
  <c r="AA23" i="3"/>
  <c r="AA312" i="3"/>
  <c r="X22" i="3"/>
  <c r="X311" i="3"/>
  <c r="X23" i="3"/>
  <c r="X312" i="3"/>
  <c r="X26" i="3"/>
  <c r="X315" i="3"/>
  <c r="X38" i="3"/>
  <c r="X327" i="3"/>
  <c r="X39" i="3"/>
  <c r="X328" i="3"/>
  <c r="AA4" i="10"/>
  <c r="R26" i="3"/>
  <c r="R315" i="3"/>
  <c r="R39" i="3"/>
  <c r="R328" i="3"/>
  <c r="O22" i="3"/>
  <c r="O311" i="3"/>
  <c r="O23" i="3"/>
  <c r="O312" i="3"/>
  <c r="O24" i="3"/>
  <c r="O313" i="3"/>
  <c r="O27" i="3"/>
  <c r="O316" i="3"/>
  <c r="O28" i="3"/>
  <c r="O317" i="3"/>
  <c r="O29" i="3"/>
  <c r="O318" i="3"/>
  <c r="O39" i="3"/>
  <c r="O328" i="3"/>
  <c r="O40" i="3"/>
  <c r="O329" i="3"/>
  <c r="AA4" i="6"/>
  <c r="L22" i="3"/>
  <c r="L311" i="3"/>
  <c r="L27" i="3"/>
  <c r="L316" i="3"/>
  <c r="L28" i="3"/>
  <c r="L317" i="3"/>
  <c r="L30" i="3"/>
  <c r="L319" i="3"/>
  <c r="L38" i="3"/>
  <c r="L327" i="3"/>
  <c r="AR114" i="3"/>
  <c r="AO114" i="3"/>
  <c r="AL114" i="3"/>
  <c r="AI114" i="3"/>
  <c r="AF114" i="3"/>
  <c r="AC114" i="3"/>
  <c r="Z114" i="3"/>
  <c r="W114" i="3"/>
  <c r="T114" i="3"/>
  <c r="Q114" i="3"/>
  <c r="N114" i="3"/>
  <c r="K114" i="3"/>
  <c r="J91" i="3"/>
  <c r="G146" i="3"/>
  <c r="G151" i="3"/>
  <c r="G140" i="3"/>
  <c r="G144" i="3"/>
  <c r="G148" i="3"/>
  <c r="G152" i="3"/>
  <c r="G158" i="3"/>
  <c r="G141" i="3"/>
  <c r="Y114" i="3"/>
  <c r="AQ114" i="3"/>
  <c r="AN114" i="3"/>
  <c r="AD114" i="3"/>
  <c r="AT114" i="3"/>
  <c r="AA114" i="3"/>
  <c r="L114" i="3"/>
  <c r="AG114" i="3"/>
  <c r="E114" i="3"/>
  <c r="O114" i="3"/>
  <c r="U114" i="3"/>
  <c r="P114" i="3"/>
  <c r="AH114" i="3"/>
  <c r="AK114" i="3"/>
  <c r="V114" i="3"/>
  <c r="AB114" i="3"/>
  <c r="R114" i="3"/>
  <c r="AP114" i="3"/>
  <c r="X114" i="3"/>
  <c r="AE114" i="3"/>
  <c r="AJ114" i="3"/>
  <c r="AM114" i="3"/>
  <c r="S114" i="3"/>
  <c r="F114" i="3"/>
  <c r="M114" i="3"/>
  <c r="M53" i="7"/>
  <c r="Q5" i="3"/>
  <c r="L21" i="3"/>
  <c r="L310" i="3"/>
  <c r="L34" i="3"/>
  <c r="J65" i="6"/>
  <c r="N4" i="3"/>
  <c r="K65" i="6"/>
  <c r="O4" i="3"/>
  <c r="L65" i="6"/>
  <c r="P4" i="3"/>
  <c r="M65" i="6"/>
  <c r="Q4" i="3"/>
  <c r="N65" i="6"/>
  <c r="R4" i="3"/>
  <c r="O65" i="6"/>
  <c r="S4" i="3"/>
  <c r="D65" i="6"/>
  <c r="Z5" i="31"/>
  <c r="Z6" i="31"/>
  <c r="Z7" i="31"/>
  <c r="Z8" i="31"/>
  <c r="Z9" i="31"/>
  <c r="Z10" i="31"/>
  <c r="Z11" i="31"/>
  <c r="Z12" i="31"/>
  <c r="Z13" i="31"/>
  <c r="Z14" i="31"/>
  <c r="Z15" i="31"/>
  <c r="Z16" i="31"/>
  <c r="Z17" i="31"/>
  <c r="Z18" i="31"/>
  <c r="Z19" i="31"/>
  <c r="Z20" i="31"/>
  <c r="Z21" i="31"/>
  <c r="Z22" i="31"/>
  <c r="Z23" i="31"/>
  <c r="Z4" i="31"/>
  <c r="Z5" i="30"/>
  <c r="Z6" i="30"/>
  <c r="Z7" i="30"/>
  <c r="Z8" i="30"/>
  <c r="Z9" i="30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4" i="30"/>
  <c r="Z5" i="29"/>
  <c r="AB5" i="29"/>
  <c r="Z6" i="29"/>
  <c r="AB6" i="29"/>
  <c r="Z7" i="29"/>
  <c r="AB7" i="29"/>
  <c r="Z8" i="29"/>
  <c r="AB8" i="29"/>
  <c r="Z9" i="29"/>
  <c r="AB9" i="29"/>
  <c r="Z10" i="29"/>
  <c r="AB10" i="29"/>
  <c r="Z11" i="29"/>
  <c r="AB11" i="29"/>
  <c r="Z12" i="29"/>
  <c r="AB12" i="29"/>
  <c r="Z13" i="29"/>
  <c r="AB13" i="29"/>
  <c r="Z14" i="29"/>
  <c r="AB14" i="29"/>
  <c r="Z15" i="29"/>
  <c r="Z16" i="29"/>
  <c r="AB16" i="29"/>
  <c r="Z17" i="29"/>
  <c r="AB17" i="29"/>
  <c r="Z18" i="29"/>
  <c r="AB18" i="29"/>
  <c r="Z19" i="29"/>
  <c r="Z20" i="29"/>
  <c r="AB20" i="29"/>
  <c r="Z21" i="29"/>
  <c r="Z22" i="29"/>
  <c r="AB22" i="29"/>
  <c r="Z23" i="29"/>
  <c r="AB23" i="29"/>
  <c r="Z4" i="29"/>
  <c r="Z5" i="28"/>
  <c r="AB5" i="28"/>
  <c r="Z6" i="28"/>
  <c r="AB6" i="28"/>
  <c r="Z7" i="28"/>
  <c r="AB7" i="28"/>
  <c r="Z8" i="28"/>
  <c r="AB8" i="28"/>
  <c r="Z9" i="28"/>
  <c r="AB9" i="28"/>
  <c r="Z10" i="28"/>
  <c r="Z11" i="28"/>
  <c r="Z12" i="28"/>
  <c r="AB12" i="28"/>
  <c r="Z13" i="28"/>
  <c r="AB13" i="28"/>
  <c r="Z14" i="28"/>
  <c r="AB14" i="28"/>
  <c r="Z15" i="28"/>
  <c r="Z16" i="28"/>
  <c r="Z17" i="28"/>
  <c r="AB17" i="28"/>
  <c r="Z18" i="28"/>
  <c r="AB18" i="28"/>
  <c r="Z19" i="28"/>
  <c r="AB19" i="28"/>
  <c r="Z20" i="28"/>
  <c r="Z21" i="28"/>
  <c r="Z22" i="28"/>
  <c r="Z23" i="28"/>
  <c r="Z4" i="28"/>
  <c r="Z5" i="23"/>
  <c r="Z6" i="23"/>
  <c r="Z7" i="23"/>
  <c r="Z8" i="23"/>
  <c r="Z9" i="23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4" i="23"/>
  <c r="Z5" i="13"/>
  <c r="Z6" i="13"/>
  <c r="AB6" i="13"/>
  <c r="Z7" i="13"/>
  <c r="Z8" i="13"/>
  <c r="AB8" i="13"/>
  <c r="Z9" i="13"/>
  <c r="Z10" i="13"/>
  <c r="Z11" i="13"/>
  <c r="Z12" i="13"/>
  <c r="Z13" i="13"/>
  <c r="AB13" i="13"/>
  <c r="Z14" i="13"/>
  <c r="Z15" i="13"/>
  <c r="Z16" i="13"/>
  <c r="Z17" i="13"/>
  <c r="Z18" i="13"/>
  <c r="Z19" i="13"/>
  <c r="Z20" i="13"/>
  <c r="AB20" i="13"/>
  <c r="Z21" i="13"/>
  <c r="Z22" i="13"/>
  <c r="Z23" i="13"/>
  <c r="AB23" i="13"/>
  <c r="Z4" i="13"/>
  <c r="Z5" i="11"/>
  <c r="Z6" i="11"/>
  <c r="Z7" i="11"/>
  <c r="Z8" i="11"/>
  <c r="Z9" i="11"/>
  <c r="Z10" i="11"/>
  <c r="Z11" i="11"/>
  <c r="Z12" i="11"/>
  <c r="Z13" i="11"/>
  <c r="Z14" i="11"/>
  <c r="AB14" i="11"/>
  <c r="Z15" i="11"/>
  <c r="Z16" i="11"/>
  <c r="AB16" i="11"/>
  <c r="Z17" i="11"/>
  <c r="AB17" i="11"/>
  <c r="Z18" i="11"/>
  <c r="Z19" i="11"/>
  <c r="AB19" i="11"/>
  <c r="Z20" i="11"/>
  <c r="Z21" i="11"/>
  <c r="Z22" i="11"/>
  <c r="AB22" i="11"/>
  <c r="Z23" i="11"/>
  <c r="Z4" i="11"/>
  <c r="Z5" i="10"/>
  <c r="Z6" i="10"/>
  <c r="Z7" i="10"/>
  <c r="AB7" i="10"/>
  <c r="Z8" i="10"/>
  <c r="Z9" i="10"/>
  <c r="Z10" i="10"/>
  <c r="Z11" i="10"/>
  <c r="Z12" i="10"/>
  <c r="Z13" i="10"/>
  <c r="Z14" i="10"/>
  <c r="Z15" i="10"/>
  <c r="Z16" i="10"/>
  <c r="AB16" i="10"/>
  <c r="Z17" i="10"/>
  <c r="AB17" i="10"/>
  <c r="Z18" i="10"/>
  <c r="AB18" i="10"/>
  <c r="Z19" i="10"/>
  <c r="Z20" i="10"/>
  <c r="Z21" i="10"/>
  <c r="AB21" i="10"/>
  <c r="Z22" i="10"/>
  <c r="AB22" i="10"/>
  <c r="Z23" i="10"/>
  <c r="AB23" i="10"/>
  <c r="Z4" i="10"/>
  <c r="Z5" i="9"/>
  <c r="Z6" i="9"/>
  <c r="AB6" i="9"/>
  <c r="Z7" i="9"/>
  <c r="Z8" i="9"/>
  <c r="AB8" i="9"/>
  <c r="Z9" i="9"/>
  <c r="Z10" i="9"/>
  <c r="Z11" i="9"/>
  <c r="AB11" i="9"/>
  <c r="Z12" i="9"/>
  <c r="Z13" i="9"/>
  <c r="AB13" i="9"/>
  <c r="Z14" i="9"/>
  <c r="AB14" i="9"/>
  <c r="Z15" i="9"/>
  <c r="Z16" i="9"/>
  <c r="Z17" i="9"/>
  <c r="Z18" i="9"/>
  <c r="Z19" i="9"/>
  <c r="AB19" i="9"/>
  <c r="Z20" i="9"/>
  <c r="AB20" i="9"/>
  <c r="Z21" i="9"/>
  <c r="AB21" i="9"/>
  <c r="Z22" i="9"/>
  <c r="AB22" i="9"/>
  <c r="Z23" i="9"/>
  <c r="Z4" i="9"/>
  <c r="Z5" i="8"/>
  <c r="Z6" i="8"/>
  <c r="Z7" i="8"/>
  <c r="Z8" i="8"/>
  <c r="Z9" i="8"/>
  <c r="Z10" i="8"/>
  <c r="Z11" i="8"/>
  <c r="Z12" i="8"/>
  <c r="AB12" i="8"/>
  <c r="Z13" i="8"/>
  <c r="Z14" i="8"/>
  <c r="Z15" i="8"/>
  <c r="Z16" i="8"/>
  <c r="Z17" i="8"/>
  <c r="Z18" i="8"/>
  <c r="Z19" i="8"/>
  <c r="Z20" i="8"/>
  <c r="Z21" i="8"/>
  <c r="Z22" i="8"/>
  <c r="Z4" i="8"/>
  <c r="AB5" i="7"/>
  <c r="AB8" i="7"/>
  <c r="AB17" i="7"/>
  <c r="AB18" i="7"/>
  <c r="AB20" i="7"/>
  <c r="AB21" i="7"/>
  <c r="AB22" i="7"/>
  <c r="Z5" i="6"/>
  <c r="AB5" i="6"/>
  <c r="Z6" i="6"/>
  <c r="Z7" i="6"/>
  <c r="Z8" i="6"/>
  <c r="Z9" i="6"/>
  <c r="Z10" i="6"/>
  <c r="AB10" i="6"/>
  <c r="Z11" i="6"/>
  <c r="AB11" i="6"/>
  <c r="Z12" i="6"/>
  <c r="AB12" i="6"/>
  <c r="Z13" i="6"/>
  <c r="Z14" i="6"/>
  <c r="Z15" i="6"/>
  <c r="Z16" i="6"/>
  <c r="Z17" i="6"/>
  <c r="Z18" i="6"/>
  <c r="Z19" i="6"/>
  <c r="Z20" i="6"/>
  <c r="AB20" i="6"/>
  <c r="Z21" i="6"/>
  <c r="Z22" i="6"/>
  <c r="AB22" i="6"/>
  <c r="Z23" i="6"/>
  <c r="Z4" i="6"/>
  <c r="AB4" i="6"/>
  <c r="L36" i="3"/>
  <c r="L23" i="3"/>
  <c r="I36" i="30"/>
  <c r="M14" i="3"/>
  <c r="J36" i="30"/>
  <c r="N14" i="3"/>
  <c r="K36" i="30"/>
  <c r="O14" i="3"/>
  <c r="L36" i="30"/>
  <c r="P14" i="3"/>
  <c r="M36" i="30"/>
  <c r="Q14" i="3"/>
  <c r="N36" i="30"/>
  <c r="R14" i="3"/>
  <c r="O36" i="30"/>
  <c r="S14" i="3"/>
  <c r="P36" i="30"/>
  <c r="Q36" i="30"/>
  <c r="R36" i="30"/>
  <c r="T36" i="30"/>
  <c r="U36" i="30"/>
  <c r="V36" i="30"/>
  <c r="W36" i="30"/>
  <c r="D36" i="30"/>
  <c r="AA5" i="30"/>
  <c r="AB5" i="30" s="1"/>
  <c r="AP22" i="3"/>
  <c r="AP311" i="3"/>
  <c r="AA6" i="30"/>
  <c r="AP23" i="3"/>
  <c r="AA7" i="30"/>
  <c r="AP24" i="3"/>
  <c r="AP313" i="3"/>
  <c r="AA8" i="30"/>
  <c r="AP25" i="3"/>
  <c r="AA9" i="30"/>
  <c r="AB9" i="30" s="1"/>
  <c r="AP26" i="3"/>
  <c r="AP315" i="3"/>
  <c r="AA10" i="30"/>
  <c r="AP27" i="3"/>
  <c r="AP316" i="3"/>
  <c r="AA11" i="30"/>
  <c r="AB11" i="30" s="1"/>
  <c r="AA12" i="30"/>
  <c r="AB12" i="30" s="1"/>
  <c r="AP29" i="3"/>
  <c r="AA13" i="30"/>
  <c r="AB13" i="30" s="1"/>
  <c r="AP30" i="3"/>
  <c r="AP319" i="3"/>
  <c r="AA14" i="30"/>
  <c r="AP31" i="3"/>
  <c r="AP320" i="3"/>
  <c r="AA15" i="30"/>
  <c r="AB15" i="30" s="1"/>
  <c r="AA16" i="30"/>
  <c r="AB16" i="30" s="1"/>
  <c r="AP33" i="3"/>
  <c r="AP322" i="3"/>
  <c r="AA17" i="30"/>
  <c r="AB17" i="30" s="1"/>
  <c r="AP34" i="3"/>
  <c r="AA18" i="30"/>
  <c r="AB18" i="30" s="1"/>
  <c r="AA19" i="30"/>
  <c r="AB19" i="30" s="1"/>
  <c r="AA20" i="30"/>
  <c r="AP37" i="3"/>
  <c r="AP326" i="3"/>
  <c r="AA21" i="30"/>
  <c r="AB21" i="30" s="1"/>
  <c r="AP38" i="3"/>
  <c r="AP327" i="3"/>
  <c r="AA22" i="30"/>
  <c r="AB22" i="30" s="1"/>
  <c r="AP39" i="3"/>
  <c r="AA23" i="30"/>
  <c r="AB23" i="30" s="1"/>
  <c r="AP40" i="3"/>
  <c r="AE21" i="30"/>
  <c r="I48" i="29"/>
  <c r="M13" i="3"/>
  <c r="J48" i="29"/>
  <c r="N13" i="3"/>
  <c r="K48" i="29"/>
  <c r="O13" i="3"/>
  <c r="L48" i="29"/>
  <c r="P13" i="3"/>
  <c r="M48" i="29"/>
  <c r="Q13" i="3"/>
  <c r="N48" i="29"/>
  <c r="R13" i="3"/>
  <c r="O48" i="29"/>
  <c r="S13" i="3"/>
  <c r="P48" i="29"/>
  <c r="Q48" i="29"/>
  <c r="R48" i="29"/>
  <c r="T48" i="29"/>
  <c r="U48" i="29"/>
  <c r="V48" i="29"/>
  <c r="D48" i="29"/>
  <c r="AA4" i="29"/>
  <c r="AB4" i="29" s="1"/>
  <c r="AM25" i="3"/>
  <c r="AM314" i="3"/>
  <c r="AM27" i="3"/>
  <c r="AM316" i="3"/>
  <c r="AM28" i="3"/>
  <c r="AM317" i="3"/>
  <c r="AB15" i="29"/>
  <c r="AM33" i="3"/>
  <c r="AM322" i="3"/>
  <c r="AM34" i="3"/>
  <c r="AM323" i="3"/>
  <c r="AM36" i="3"/>
  <c r="AM325" i="3"/>
  <c r="AM40" i="3"/>
  <c r="AM329" i="3"/>
  <c r="G44" i="28"/>
  <c r="H44" i="28"/>
  <c r="L12" i="3"/>
  <c r="I44" i="28"/>
  <c r="J44" i="28"/>
  <c r="N12" i="3"/>
  <c r="K44" i="28"/>
  <c r="O12" i="3"/>
  <c r="L44" i="28"/>
  <c r="P12" i="3"/>
  <c r="M44" i="28"/>
  <c r="Q12" i="3"/>
  <c r="N44" i="28"/>
  <c r="R12" i="3"/>
  <c r="O44" i="28"/>
  <c r="S12" i="3"/>
  <c r="P44" i="28"/>
  <c r="Q44" i="28"/>
  <c r="R44" i="28"/>
  <c r="T44" i="28"/>
  <c r="U44" i="28"/>
  <c r="V44" i="28"/>
  <c r="W44" i="28"/>
  <c r="D44" i="28"/>
  <c r="AA4" i="28"/>
  <c r="AJ22" i="3"/>
  <c r="AJ23" i="3"/>
  <c r="AJ26" i="3"/>
  <c r="AJ315" i="3"/>
  <c r="AJ28" i="3"/>
  <c r="AJ317" i="3"/>
  <c r="AJ30" i="3"/>
  <c r="AJ319" i="3"/>
  <c r="AJ31" i="3"/>
  <c r="AJ320" i="3"/>
  <c r="AJ33" i="3"/>
  <c r="AJ34" i="3"/>
  <c r="AJ36" i="3"/>
  <c r="AJ325" i="3"/>
  <c r="AJ38" i="3"/>
  <c r="AJ327" i="3"/>
  <c r="AJ39" i="3"/>
  <c r="AJ328" i="3"/>
  <c r="I37" i="23"/>
  <c r="M11" i="3"/>
  <c r="J37" i="23"/>
  <c r="N11" i="3"/>
  <c r="L37" i="23"/>
  <c r="P11" i="3"/>
  <c r="M37" i="23"/>
  <c r="Q11" i="3"/>
  <c r="N37" i="23"/>
  <c r="R11" i="3"/>
  <c r="O37" i="23"/>
  <c r="S11" i="3"/>
  <c r="P37" i="23"/>
  <c r="Q37" i="23"/>
  <c r="R37" i="23"/>
  <c r="T37" i="23"/>
  <c r="U37" i="23"/>
  <c r="V37" i="23"/>
  <c r="W37" i="23"/>
  <c r="AA4" i="23"/>
  <c r="AG21" i="3"/>
  <c r="AG310" i="3"/>
  <c r="M10" i="3"/>
  <c r="N10" i="3"/>
  <c r="O10" i="3"/>
  <c r="S10" i="3"/>
  <c r="AA4" i="13"/>
  <c r="AA42" i="13" s="1"/>
  <c r="AD21" i="3"/>
  <c r="AD310" i="3"/>
  <c r="AD28" i="3"/>
  <c r="AD30" i="3"/>
  <c r="AD34" i="3"/>
  <c r="AD37" i="3"/>
  <c r="N9" i="3"/>
  <c r="K45" i="11"/>
  <c r="O9" i="3"/>
  <c r="L45" i="11"/>
  <c r="P9" i="3"/>
  <c r="M45" i="11"/>
  <c r="Q9" i="3"/>
  <c r="N45" i="11"/>
  <c r="R9" i="3"/>
  <c r="O45" i="11"/>
  <c r="S9" i="3"/>
  <c r="AA4" i="11"/>
  <c r="AA22" i="3"/>
  <c r="AA34" i="3"/>
  <c r="AA36" i="3"/>
  <c r="AA38" i="3"/>
  <c r="AA39" i="3"/>
  <c r="AE13" i="11"/>
  <c r="AE18" i="11" s="1"/>
  <c r="H9" i="3" s="1"/>
  <c r="I62" i="10"/>
  <c r="M8" i="3"/>
  <c r="J62" i="10"/>
  <c r="N8" i="3"/>
  <c r="K62" i="10"/>
  <c r="O8" i="3"/>
  <c r="L62" i="10"/>
  <c r="P8" i="3"/>
  <c r="M62" i="10"/>
  <c r="Q8" i="3"/>
  <c r="N62" i="10"/>
  <c r="R8" i="3"/>
  <c r="O62" i="10"/>
  <c r="S8" i="3"/>
  <c r="Q62" i="10"/>
  <c r="R62" i="10"/>
  <c r="S62" i="10"/>
  <c r="T62" i="10"/>
  <c r="U62" i="10"/>
  <c r="V62" i="10"/>
  <c r="W62" i="10"/>
  <c r="D62" i="10"/>
  <c r="X34" i="3"/>
  <c r="X35" i="3"/>
  <c r="G60" i="9"/>
  <c r="J60" i="9"/>
  <c r="N7" i="3"/>
  <c r="K60" i="9"/>
  <c r="O7" i="3"/>
  <c r="L60" i="9"/>
  <c r="P7" i="3"/>
  <c r="M60" i="9"/>
  <c r="Q7" i="3"/>
  <c r="N60" i="9"/>
  <c r="R7" i="3"/>
  <c r="O60" i="9"/>
  <c r="S7" i="3"/>
  <c r="P60" i="9"/>
  <c r="Q60" i="9"/>
  <c r="R60" i="9"/>
  <c r="T60" i="9"/>
  <c r="U60" i="9"/>
  <c r="W60" i="9"/>
  <c r="AA4" i="9"/>
  <c r="U21" i="3"/>
  <c r="U22" i="3"/>
  <c r="U24" i="3"/>
  <c r="U313" i="3"/>
  <c r="U36" i="3"/>
  <c r="U37" i="3"/>
  <c r="U39" i="3"/>
  <c r="U328" i="3"/>
  <c r="AE15" i="9"/>
  <c r="J69" i="8"/>
  <c r="N6" i="3"/>
  <c r="K69" i="8"/>
  <c r="O6" i="3"/>
  <c r="L69" i="8"/>
  <c r="P6" i="3"/>
  <c r="M69" i="8"/>
  <c r="Q6" i="3"/>
  <c r="N69" i="8"/>
  <c r="R6" i="3"/>
  <c r="O69" i="8"/>
  <c r="S6" i="3"/>
  <c r="P69" i="8"/>
  <c r="Q69" i="8"/>
  <c r="R69" i="8"/>
  <c r="T69" i="8"/>
  <c r="U69" i="8"/>
  <c r="V69" i="8"/>
  <c r="D69" i="8"/>
  <c r="J53" i="7"/>
  <c r="N5" i="3"/>
  <c r="K53" i="7"/>
  <c r="O5" i="3"/>
  <c r="L53" i="7"/>
  <c r="P5" i="3"/>
  <c r="N53" i="7"/>
  <c r="R5" i="3"/>
  <c r="O53" i="7"/>
  <c r="S5" i="3"/>
  <c r="O34" i="3"/>
  <c r="O38" i="3"/>
  <c r="R25" i="32"/>
  <c r="AA5" i="31"/>
  <c r="AB5" i="31" s="1"/>
  <c r="AS21" i="3"/>
  <c r="AA6" i="31"/>
  <c r="AB6" i="31" s="1"/>
  <c r="AA7" i="31"/>
  <c r="AB7" i="31" s="1"/>
  <c r="AA8" i="31"/>
  <c r="AB8" i="31" s="1"/>
  <c r="AA9" i="31"/>
  <c r="AB9" i="31" s="1"/>
  <c r="AA10" i="31"/>
  <c r="AB10" i="31" s="1"/>
  <c r="AA11" i="31"/>
  <c r="AS27" i="3"/>
  <c r="AS316" i="3"/>
  <c r="AA12" i="31"/>
  <c r="AB12" i="31" s="1"/>
  <c r="AS28" i="3"/>
  <c r="AS317" i="3"/>
  <c r="AA13" i="31"/>
  <c r="AB13" i="31" s="1"/>
  <c r="AS29" i="3"/>
  <c r="AS318" i="3"/>
  <c r="AA14" i="31"/>
  <c r="AB14" i="31" s="1"/>
  <c r="AA15" i="31"/>
  <c r="AB15" i="31" s="1"/>
  <c r="AA16" i="31"/>
  <c r="AB16" i="31" s="1"/>
  <c r="AA17" i="31"/>
  <c r="AB17" i="31" s="1"/>
  <c r="AA18" i="31"/>
  <c r="AA19" i="31"/>
  <c r="AB19" i="31" s="1"/>
  <c r="AS35" i="3"/>
  <c r="AS324" i="3"/>
  <c r="AA20" i="31"/>
  <c r="AB20" i="31" s="1"/>
  <c r="AS36" i="3"/>
  <c r="AS325" i="3"/>
  <c r="AA21" i="31"/>
  <c r="AB21" i="31" s="1"/>
  <c r="AA22" i="31"/>
  <c r="AB22" i="31" s="1"/>
  <c r="AA23" i="31"/>
  <c r="AB23" i="31" s="1"/>
  <c r="AS39" i="3"/>
  <c r="AS328" i="3"/>
  <c r="AA4" i="31"/>
  <c r="AB4" i="31" s="1"/>
  <c r="E39" i="31"/>
  <c r="D39" i="31"/>
  <c r="W49" i="31" s="1"/>
  <c r="A149" i="32"/>
  <c r="A150" i="32"/>
  <c r="A151" i="32"/>
  <c r="A152" i="32"/>
  <c r="A153" i="32"/>
  <c r="A154" i="32"/>
  <c r="A155" i="32"/>
  <c r="A156" i="32"/>
  <c r="A157" i="32"/>
  <c r="A158" i="32"/>
  <c r="A159" i="32"/>
  <c r="A148" i="32"/>
  <c r="AS40" i="3"/>
  <c r="AS329" i="3"/>
  <c r="AS38" i="3"/>
  <c r="AS34" i="3"/>
  <c r="AS33" i="3"/>
  <c r="AS322" i="3"/>
  <c r="AS32" i="3"/>
  <c r="AS31" i="3"/>
  <c r="AS320" i="3"/>
  <c r="AS30" i="3"/>
  <c r="AS319" i="3"/>
  <c r="AS26" i="3"/>
  <c r="AS315" i="3"/>
  <c r="AS25" i="3"/>
  <c r="AS24" i="3"/>
  <c r="AS313" i="3"/>
  <c r="AS23" i="3"/>
  <c r="AS312" i="3"/>
  <c r="AS22" i="3"/>
  <c r="AS311" i="3"/>
  <c r="Q25" i="32"/>
  <c r="F39" i="31"/>
  <c r="G39" i="31"/>
  <c r="I39" i="31"/>
  <c r="M15" i="3"/>
  <c r="J39" i="31"/>
  <c r="N15" i="3"/>
  <c r="K39" i="31"/>
  <c r="O15" i="3"/>
  <c r="L39" i="31"/>
  <c r="P15" i="3"/>
  <c r="M39" i="31"/>
  <c r="Q15" i="3"/>
  <c r="N39" i="31"/>
  <c r="R15" i="3"/>
  <c r="O39" i="31"/>
  <c r="S15" i="3"/>
  <c r="P39" i="31"/>
  <c r="Q39" i="31"/>
  <c r="R39" i="31"/>
  <c r="T39" i="31"/>
  <c r="U39" i="31"/>
  <c r="V39" i="31"/>
  <c r="W39" i="31"/>
  <c r="K17" i="32"/>
  <c r="K25" i="32"/>
  <c r="E40" i="3"/>
  <c r="E39" i="3"/>
  <c r="P25" i="32"/>
  <c r="O25" i="32"/>
  <c r="N25" i="32"/>
  <c r="M25" i="32"/>
  <c r="L25" i="32"/>
  <c r="D12" i="3"/>
  <c r="D11" i="3"/>
  <c r="D10" i="3"/>
  <c r="D5" i="3"/>
  <c r="D6" i="3"/>
  <c r="D7" i="3"/>
  <c r="D8" i="3"/>
  <c r="AE22" i="31"/>
  <c r="K19" i="3"/>
  <c r="J15" i="3"/>
  <c r="AR19" i="3"/>
  <c r="J14" i="3"/>
  <c r="AO19" i="3"/>
  <c r="J13" i="3"/>
  <c r="AL19" i="3"/>
  <c r="J12" i="3"/>
  <c r="AI19" i="3"/>
  <c r="J11" i="3"/>
  <c r="AF19" i="3"/>
  <c r="J10" i="3"/>
  <c r="AC19" i="3"/>
  <c r="J9" i="3"/>
  <c r="Z19" i="3"/>
  <c r="J8" i="3"/>
  <c r="W19" i="3"/>
  <c r="J7" i="3"/>
  <c r="T19" i="3"/>
  <c r="J6" i="3"/>
  <c r="Q19" i="3"/>
  <c r="N19" i="3"/>
  <c r="J4" i="3"/>
  <c r="H15" i="3"/>
  <c r="E30" i="3"/>
  <c r="E32" i="3"/>
  <c r="E38" i="3"/>
  <c r="E22" i="3"/>
  <c r="E21" i="3"/>
  <c r="E34" i="3"/>
  <c r="E24" i="3"/>
  <c r="E26" i="3"/>
  <c r="E28" i="3"/>
  <c r="E36" i="3"/>
  <c r="E23" i="3"/>
  <c r="E25" i="3"/>
  <c r="E27" i="3"/>
  <c r="E29" i="3"/>
  <c r="E31" i="3"/>
  <c r="E33" i="3"/>
  <c r="E35" i="3"/>
  <c r="E37" i="3"/>
  <c r="H53" i="7"/>
  <c r="L5" i="3"/>
  <c r="G65" i="6"/>
  <c r="F65" i="6"/>
  <c r="AN40" i="3"/>
  <c r="AK39" i="3"/>
  <c r="AT40" i="3"/>
  <c r="AT39" i="3"/>
  <c r="AK38" i="3"/>
  <c r="AQ27" i="3"/>
  <c r="AT33" i="3"/>
  <c r="AT31" i="3"/>
  <c r="AT24" i="3"/>
  <c r="AT26" i="3"/>
  <c r="AN33" i="3"/>
  <c r="AT30" i="3"/>
  <c r="AT29" i="3"/>
  <c r="AB18" i="31"/>
  <c r="AS37" i="3"/>
  <c r="AE12" i="31"/>
  <c r="W48" i="31"/>
  <c r="AT35" i="3"/>
  <c r="U15" i="3"/>
  <c r="E159" i="32"/>
  <c r="AT36" i="3"/>
  <c r="AT28" i="3"/>
  <c r="AT27" i="3"/>
  <c r="K15" i="3"/>
  <c r="C159" i="32"/>
  <c r="H39" i="31"/>
  <c r="AA39" i="31"/>
  <c r="AB11" i="31"/>
  <c r="AT21" i="3"/>
  <c r="AT23" i="3"/>
  <c r="AB10" i="28"/>
  <c r="AT22" i="3"/>
  <c r="AQ33" i="3"/>
  <c r="G36" i="30"/>
  <c r="AP36" i="3"/>
  <c r="AP325" i="3"/>
  <c r="AB10" i="30"/>
  <c r="AP35" i="3"/>
  <c r="AP324" i="3"/>
  <c r="AP28" i="3"/>
  <c r="AP317" i="3"/>
  <c r="AE22" i="30"/>
  <c r="H14" i="3"/>
  <c r="F36" i="30"/>
  <c r="AQ37" i="3"/>
  <c r="AE12" i="30"/>
  <c r="W45" i="30"/>
  <c r="AQ22" i="3"/>
  <c r="AQ26" i="3"/>
  <c r="AQ31" i="3"/>
  <c r="AQ24" i="3"/>
  <c r="AP21" i="3"/>
  <c r="AP310" i="3"/>
  <c r="AA36" i="30"/>
  <c r="H36" i="30"/>
  <c r="AB14" i="30"/>
  <c r="AB8" i="30"/>
  <c r="AB7" i="30"/>
  <c r="AB20" i="30"/>
  <c r="AP32" i="3"/>
  <c r="AP321" i="3"/>
  <c r="G48" i="29"/>
  <c r="AM31" i="3"/>
  <c r="AM320" i="3"/>
  <c r="AM37" i="3"/>
  <c r="AM21" i="3"/>
  <c r="AM310" i="3"/>
  <c r="AM29" i="3"/>
  <c r="AM26" i="3"/>
  <c r="AM315" i="3"/>
  <c r="AM23" i="3"/>
  <c r="AM312" i="3"/>
  <c r="H48" i="29"/>
  <c r="AM24" i="3"/>
  <c r="AB21" i="29"/>
  <c r="AM32" i="3"/>
  <c r="AM321" i="3"/>
  <c r="W57" i="29"/>
  <c r="U13" i="3"/>
  <c r="E157" i="32"/>
  <c r="AN25" i="3"/>
  <c r="AB19" i="29"/>
  <c r="AM22" i="3"/>
  <c r="AM311" i="3"/>
  <c r="AM30" i="3"/>
  <c r="AM319" i="3"/>
  <c r="AM38" i="3"/>
  <c r="AB6" i="30"/>
  <c r="AN27" i="3"/>
  <c r="AB23" i="28"/>
  <c r="AB15" i="28"/>
  <c r="AA48" i="29"/>
  <c r="AN34" i="3"/>
  <c r="AE22" i="29"/>
  <c r="H13" i="3"/>
  <c r="AE12" i="29"/>
  <c r="AM39" i="3"/>
  <c r="AM328" i="3"/>
  <c r="AM35" i="3"/>
  <c r="F48" i="29"/>
  <c r="AN28" i="3"/>
  <c r="AB20" i="28"/>
  <c r="AJ24" i="3"/>
  <c r="AE22" i="28"/>
  <c r="H12" i="3"/>
  <c r="AE12" i="28"/>
  <c r="AJ27" i="3"/>
  <c r="F44" i="28"/>
  <c r="AJ32" i="3"/>
  <c r="AB21" i="28"/>
  <c r="AJ40" i="3"/>
  <c r="AJ329" i="3"/>
  <c r="AK28" i="3"/>
  <c r="AB11" i="28"/>
  <c r="AA44" i="28"/>
  <c r="AJ35" i="3"/>
  <c r="AJ324" i="3"/>
  <c r="W52" i="28"/>
  <c r="W53" i="28"/>
  <c r="U12" i="3"/>
  <c r="E156" i="32"/>
  <c r="AK30" i="3"/>
  <c r="AK31" i="3"/>
  <c r="AJ25" i="3"/>
  <c r="AJ314" i="3"/>
  <c r="AB22" i="28"/>
  <c r="AJ37" i="3"/>
  <c r="AJ326" i="3"/>
  <c r="AJ29" i="3"/>
  <c r="AJ318" i="3"/>
  <c r="AJ21" i="3"/>
  <c r="AJ310" i="3"/>
  <c r="AB16" i="28"/>
  <c r="M12" i="3"/>
  <c r="H11" i="3"/>
  <c r="W52" i="11"/>
  <c r="K9" i="3"/>
  <c r="C153" i="32"/>
  <c r="AA21" i="3"/>
  <c r="AA310" i="3"/>
  <c r="AB5" i="11"/>
  <c r="M9" i="3"/>
  <c r="AA31" i="3"/>
  <c r="E62" i="10"/>
  <c r="H62" i="10"/>
  <c r="L8" i="3"/>
  <c r="G62" i="10"/>
  <c r="AE10" i="10"/>
  <c r="F62" i="10"/>
  <c r="AB8" i="10"/>
  <c r="X25" i="3"/>
  <c r="AB17" i="9"/>
  <c r="F60" i="9"/>
  <c r="U34" i="3"/>
  <c r="U323" i="3"/>
  <c r="H69" i="8"/>
  <c r="R24" i="3"/>
  <c r="R25" i="3"/>
  <c r="R314" i="3"/>
  <c r="AE12" i="7"/>
  <c r="AP42" i="3"/>
  <c r="E14" i="3"/>
  <c r="AN39" i="3"/>
  <c r="AQ28" i="3"/>
  <c r="AQ35" i="3"/>
  <c r="AN21" i="3"/>
  <c r="L15" i="3"/>
  <c r="W47" i="31"/>
  <c r="W44" i="31"/>
  <c r="U14" i="3"/>
  <c r="E158" i="32"/>
  <c r="AQ36" i="3"/>
  <c r="E36" i="30"/>
  <c r="AQ32" i="3"/>
  <c r="W44" i="30"/>
  <c r="L14" i="3"/>
  <c r="AQ21" i="3"/>
  <c r="AN31" i="3"/>
  <c r="E48" i="29"/>
  <c r="AN26" i="3"/>
  <c r="AN23" i="3"/>
  <c r="AN30" i="3"/>
  <c r="AN22" i="3"/>
  <c r="L13" i="3"/>
  <c r="W56" i="29"/>
  <c r="AK35" i="3"/>
  <c r="AK25" i="3"/>
  <c r="AK29" i="3"/>
  <c r="AK37" i="3"/>
  <c r="H60" i="9"/>
  <c r="L7" i="3"/>
  <c r="D53" i="7"/>
  <c r="W50" i="31"/>
  <c r="W46" i="30"/>
  <c r="K14" i="3"/>
  <c r="C158" i="32"/>
  <c r="W41" i="30"/>
  <c r="W58" i="29"/>
  <c r="K13" i="3"/>
  <c r="C157" i="32"/>
  <c r="W53" i="29"/>
  <c r="E44" i="28"/>
  <c r="W54" i="28" s="1"/>
  <c r="C15" i="3"/>
  <c r="B159" i="32"/>
  <c r="W52" i="31"/>
  <c r="Y48" i="31"/>
  <c r="Y49" i="31"/>
  <c r="Y47" i="31"/>
  <c r="W47" i="30"/>
  <c r="Y45" i="30"/>
  <c r="W59" i="29"/>
  <c r="Y57" i="29"/>
  <c r="W49" i="28"/>
  <c r="K12" i="3"/>
  <c r="C156" i="32"/>
  <c r="W55" i="28"/>
  <c r="Y46" i="30"/>
  <c r="C14" i="3"/>
  <c r="B158" i="32"/>
  <c r="Y44" i="30"/>
  <c r="W49" i="30"/>
  <c r="Y58" i="29"/>
  <c r="W61" i="29"/>
  <c r="C13" i="3"/>
  <c r="Y56" i="29"/>
  <c r="Y52" i="28"/>
  <c r="W57" i="28"/>
  <c r="Y53" i="28"/>
  <c r="Y54" i="28"/>
  <c r="C12" i="3"/>
  <c r="B156" i="32"/>
  <c r="B157" i="32"/>
  <c r="F156" i="32" s="1"/>
  <c r="G14" i="3"/>
  <c r="G13" i="3"/>
  <c r="L9" i="3"/>
  <c r="H37" i="23"/>
  <c r="L11" i="3"/>
  <c r="W69" i="10"/>
  <c r="W67" i="10"/>
  <c r="AE11" i="9"/>
  <c r="R36" i="3"/>
  <c r="R325" i="3"/>
  <c r="AE21" i="7"/>
  <c r="F69" i="8"/>
  <c r="E42" i="3"/>
  <c r="D16" i="3"/>
  <c r="AB24" i="6"/>
  <c r="S24" i="3"/>
  <c r="R313" i="3"/>
  <c r="Y25" i="3"/>
  <c r="X314" i="3"/>
  <c r="AB31" i="3"/>
  <c r="AA320" i="3"/>
  <c r="AK32" i="3"/>
  <c r="AJ321" i="3"/>
  <c r="AK27" i="3"/>
  <c r="AJ316" i="3"/>
  <c r="AK24" i="3"/>
  <c r="AJ313" i="3"/>
  <c r="AN35" i="3"/>
  <c r="AM324" i="3"/>
  <c r="AN38" i="3"/>
  <c r="AM327" i="3"/>
  <c r="AN24" i="3"/>
  <c r="AM313" i="3"/>
  <c r="AM42" i="3"/>
  <c r="E13" i="3"/>
  <c r="AM318" i="3"/>
  <c r="AN37" i="3"/>
  <c r="AM326" i="3"/>
  <c r="AT37" i="3"/>
  <c r="AS326" i="3"/>
  <c r="T15" i="3"/>
  <c r="AT25" i="3"/>
  <c r="AS314" i="3"/>
  <c r="AT32" i="3"/>
  <c r="AS321" i="3"/>
  <c r="AT34" i="3"/>
  <c r="AS323" i="3"/>
  <c r="AT38" i="3"/>
  <c r="AS327" i="3"/>
  <c r="AS42" i="3"/>
  <c r="E15" i="3"/>
  <c r="AS310" i="3"/>
  <c r="P38" i="3"/>
  <c r="O327" i="3"/>
  <c r="P34" i="3"/>
  <c r="O323" i="3"/>
  <c r="V37" i="3"/>
  <c r="U326" i="3"/>
  <c r="V36" i="3"/>
  <c r="U325" i="3"/>
  <c r="V22" i="3"/>
  <c r="U311" i="3"/>
  <c r="V21" i="3"/>
  <c r="U310" i="3"/>
  <c r="Y35" i="3"/>
  <c r="X324" i="3"/>
  <c r="Y34" i="3"/>
  <c r="X323" i="3"/>
  <c r="AB39" i="3"/>
  <c r="AA328" i="3"/>
  <c r="AB38" i="3"/>
  <c r="AA327" i="3"/>
  <c r="AB36" i="3"/>
  <c r="AA325" i="3"/>
  <c r="AB34" i="3"/>
  <c r="AA323" i="3"/>
  <c r="AB22" i="3"/>
  <c r="AA311" i="3"/>
  <c r="AD326" i="3"/>
  <c r="AE34" i="3"/>
  <c r="AD323" i="3"/>
  <c r="AE30" i="3"/>
  <c r="AD319" i="3"/>
  <c r="AE28" i="3"/>
  <c r="AD317" i="3"/>
  <c r="AK34" i="3"/>
  <c r="AJ323" i="3"/>
  <c r="AK33" i="3"/>
  <c r="AJ322" i="3"/>
  <c r="AK23" i="3"/>
  <c r="AJ312" i="3"/>
  <c r="AK22" i="3"/>
  <c r="AJ311" i="3"/>
  <c r="T12" i="3"/>
  <c r="D156" i="32"/>
  <c r="T13" i="3"/>
  <c r="AQ40" i="3"/>
  <c r="AP329" i="3"/>
  <c r="AQ39" i="3"/>
  <c r="AP328" i="3"/>
  <c r="AQ34" i="3"/>
  <c r="AP323" i="3"/>
  <c r="AQ29" i="3"/>
  <c r="AP318" i="3"/>
  <c r="AQ25" i="3"/>
  <c r="AP314" i="3"/>
  <c r="AQ23" i="3"/>
  <c r="AP312" i="3"/>
  <c r="T14" i="3"/>
  <c r="M23" i="3"/>
  <c r="L312" i="3"/>
  <c r="M36" i="3"/>
  <c r="L325" i="3"/>
  <c r="M34" i="3"/>
  <c r="L323" i="3"/>
  <c r="AB19" i="13"/>
  <c r="AB16" i="13"/>
  <c r="AH32" i="3"/>
  <c r="AG321" i="3"/>
  <c r="M37" i="3"/>
  <c r="L326" i="3"/>
  <c r="AT41" i="3"/>
  <c r="AS330" i="3"/>
  <c r="P41" i="3"/>
  <c r="O330" i="3"/>
  <c r="M41" i="3"/>
  <c r="L330" i="3"/>
  <c r="AB20" i="11"/>
  <c r="AB10" i="11"/>
  <c r="AB15" i="10"/>
  <c r="AB13" i="10"/>
  <c r="AB12" i="10"/>
  <c r="AB8" i="8"/>
  <c r="M39" i="3"/>
  <c r="L328" i="3"/>
  <c r="M32" i="3"/>
  <c r="L321" i="3"/>
  <c r="AB21" i="11"/>
  <c r="AB9" i="11"/>
  <c r="AB5" i="13"/>
  <c r="G114" i="3"/>
  <c r="E160" i="3"/>
  <c r="G143" i="3"/>
  <c r="G147" i="3"/>
  <c r="G153" i="3"/>
  <c r="Z36" i="30"/>
  <c r="Z62" i="10"/>
  <c r="Z44" i="28"/>
  <c r="AB4" i="30"/>
  <c r="Z39" i="31"/>
  <c r="AB24" i="11"/>
  <c r="Z42" i="13"/>
  <c r="AB23" i="11"/>
  <c r="H53" i="3"/>
  <c r="H49" i="3"/>
  <c r="H59" i="3"/>
  <c r="E66" i="3"/>
  <c r="H47" i="3"/>
  <c r="H46" i="3"/>
  <c r="G46" i="3"/>
  <c r="G57" i="3"/>
  <c r="H57" i="3"/>
  <c r="F64" i="3"/>
  <c r="F65" i="3"/>
  <c r="F51" i="3"/>
  <c r="G60" i="3"/>
  <c r="H60" i="3"/>
  <c r="F54" i="3"/>
  <c r="F52" i="3"/>
  <c r="F55" i="3"/>
  <c r="F62" i="3"/>
  <c r="F50" i="3"/>
  <c r="F63" i="3"/>
  <c r="F48" i="3"/>
  <c r="G59" i="3"/>
  <c r="F58" i="3"/>
  <c r="F61" i="3"/>
  <c r="F56" i="3"/>
  <c r="F15" i="3"/>
  <c r="H128" i="3"/>
  <c r="H117" i="3"/>
  <c r="H119" i="3"/>
  <c r="H136" i="3"/>
  <c r="H133" i="3"/>
  <c r="H120" i="3"/>
  <c r="H132" i="3"/>
  <c r="H124" i="3"/>
  <c r="H134" i="3"/>
  <c r="H131" i="3"/>
  <c r="H126" i="3"/>
  <c r="H118" i="3"/>
  <c r="H125" i="3"/>
  <c r="H135" i="3"/>
  <c r="H127" i="3"/>
  <c r="H123" i="3"/>
  <c r="H121" i="3"/>
  <c r="H130" i="3"/>
  <c r="H122" i="3"/>
  <c r="H129" i="3"/>
  <c r="AB36" i="30"/>
  <c r="AB39" i="31"/>
  <c r="V15" i="3"/>
  <c r="W15" i="3"/>
  <c r="D159" i="32"/>
  <c r="AB48" i="29"/>
  <c r="AS331" i="3"/>
  <c r="AP331" i="3"/>
  <c r="AM331" i="3"/>
  <c r="AT42" i="3"/>
  <c r="D157" i="32"/>
  <c r="V13" i="3"/>
  <c r="W13" i="3"/>
  <c r="F13" i="3"/>
  <c r="F14" i="3"/>
  <c r="AB15" i="9"/>
  <c r="AN32" i="3"/>
  <c r="AJ42" i="3"/>
  <c r="E12" i="3"/>
  <c r="F12" i="3"/>
  <c r="Z69" i="8"/>
  <c r="F160" i="3"/>
  <c r="AK21" i="3"/>
  <c r="AK26" i="3"/>
  <c r="AN36" i="3"/>
  <c r="AJ331" i="3"/>
  <c r="Z60" i="9"/>
  <c r="G155" i="3"/>
  <c r="G15" i="3"/>
  <c r="Z48" i="29"/>
  <c r="AQ38" i="3"/>
  <c r="G142" i="3"/>
  <c r="G160" i="3"/>
  <c r="AK41" i="3"/>
  <c r="AB15" i="8"/>
  <c r="AQ30" i="3"/>
  <c r="AQ42" i="3"/>
  <c r="AB7" i="11"/>
  <c r="AK36" i="3"/>
  <c r="Z45" i="11"/>
  <c r="AK40" i="3"/>
  <c r="AB24" i="10"/>
  <c r="AN29" i="3"/>
  <c r="AN42" i="3"/>
  <c r="AB10" i="10"/>
  <c r="V12" i="3"/>
  <c r="W12" i="3"/>
  <c r="AB4" i="28"/>
  <c r="AB44" i="28"/>
  <c r="AB5" i="9"/>
  <c r="M29" i="3"/>
  <c r="AB15" i="6"/>
  <c r="AB18" i="6"/>
  <c r="AB6" i="6"/>
  <c r="W71" i="6"/>
  <c r="AB17" i="6"/>
  <c r="AB7" i="6"/>
  <c r="AA65" i="6"/>
  <c r="AB13" i="6"/>
  <c r="M25" i="3"/>
  <c r="M28" i="3"/>
  <c r="M27" i="3"/>
  <c r="M40" i="3"/>
  <c r="M22" i="3"/>
  <c r="AB9" i="6"/>
  <c r="AB8" i="6"/>
  <c r="L4" i="3"/>
  <c r="AB23" i="6"/>
  <c r="Z65" i="6"/>
  <c r="AB19" i="6"/>
  <c r="AB16" i="6"/>
  <c r="Y11" i="3"/>
  <c r="C11" i="34" s="1"/>
  <c r="L26" i="3"/>
  <c r="L315" i="3"/>
  <c r="M30" i="3"/>
  <c r="U4" i="3"/>
  <c r="M38" i="3"/>
  <c r="M31" i="3"/>
  <c r="M35" i="3"/>
  <c r="AB21" i="6"/>
  <c r="L24" i="3"/>
  <c r="L313" i="3"/>
  <c r="L33" i="3"/>
  <c r="L322" i="3"/>
  <c r="AB7" i="3"/>
  <c r="F7" i="34" s="1"/>
  <c r="AC7" i="3"/>
  <c r="G7" i="34" s="1"/>
  <c r="M21" i="3"/>
  <c r="AB14" i="6"/>
  <c r="AB16" i="7"/>
  <c r="AB14" i="7"/>
  <c r="AB15" i="7"/>
  <c r="AB12" i="7"/>
  <c r="P36" i="3"/>
  <c r="P31" i="3"/>
  <c r="AB19" i="7"/>
  <c r="P22" i="3"/>
  <c r="P25" i="3"/>
  <c r="P32" i="3"/>
  <c r="P35" i="3"/>
  <c r="AB7" i="7"/>
  <c r="AB6" i="7"/>
  <c r="O30" i="3"/>
  <c r="AB23" i="7"/>
  <c r="AB11" i="7"/>
  <c r="AB10" i="7"/>
  <c r="AB13" i="7"/>
  <c r="P28" i="3"/>
  <c r="P27" i="3"/>
  <c r="P24" i="3"/>
  <c r="P40" i="3"/>
  <c r="O21" i="3"/>
  <c r="O310" i="3"/>
  <c r="AB4" i="7"/>
  <c r="W59" i="7"/>
  <c r="U5" i="3"/>
  <c r="P37" i="3"/>
  <c r="P29" i="3"/>
  <c r="F53" i="7"/>
  <c r="P33" i="3"/>
  <c r="Z53" i="7"/>
  <c r="G53" i="7"/>
  <c r="P39" i="3"/>
  <c r="P23" i="3"/>
  <c r="R32" i="3"/>
  <c r="R321" i="3"/>
  <c r="S36" i="3"/>
  <c r="AB20" i="8"/>
  <c r="AB9" i="8"/>
  <c r="S25" i="3"/>
  <c r="AB7" i="8"/>
  <c r="AE20" i="9"/>
  <c r="H7" i="3"/>
  <c r="AB4" i="9"/>
  <c r="AB12" i="9"/>
  <c r="AB10" i="9"/>
  <c r="W66" i="9"/>
  <c r="U7" i="3"/>
  <c r="E151" i="32"/>
  <c r="AA24" i="3"/>
  <c r="AA37" i="3"/>
  <c r="AB4" i="11"/>
  <c r="AB15" i="11"/>
  <c r="AA45" i="11"/>
  <c r="W51" i="11"/>
  <c r="U9" i="3"/>
  <c r="E153" i="32"/>
  <c r="T9" i="3"/>
  <c r="D153" i="32"/>
  <c r="AA29" i="3"/>
  <c r="AA318" i="3"/>
  <c r="S21" i="3"/>
  <c r="S31" i="3"/>
  <c r="S29" i="3"/>
  <c r="S28" i="3"/>
  <c r="AB23" i="8"/>
  <c r="AB14" i="8"/>
  <c r="AB5" i="8"/>
  <c r="AE11" i="8"/>
  <c r="AB6" i="8"/>
  <c r="W69" i="8"/>
  <c r="W75" i="8"/>
  <c r="Y75" i="8" s="1"/>
  <c r="U6" i="3"/>
  <c r="AB4" i="8"/>
  <c r="AB11" i="8"/>
  <c r="AB19" i="8"/>
  <c r="AB18" i="8"/>
  <c r="R30" i="3"/>
  <c r="AB21" i="8"/>
  <c r="S26" i="3"/>
  <c r="R40" i="3"/>
  <c r="R329" i="3"/>
  <c r="R41" i="3"/>
  <c r="R330" i="3"/>
  <c r="S39" i="3"/>
  <c r="AB24" i="8"/>
  <c r="S37" i="3"/>
  <c r="AA11" i="3"/>
  <c r="E11" i="34" s="1"/>
  <c r="AE21" i="8"/>
  <c r="H6" i="3"/>
  <c r="AB22" i="8"/>
  <c r="R38" i="3"/>
  <c r="R327" i="3"/>
  <c r="R23" i="3"/>
  <c r="R312" i="3"/>
  <c r="R22" i="3"/>
  <c r="R311" i="3"/>
  <c r="R35" i="3"/>
  <c r="R324" i="3"/>
  <c r="L6" i="3"/>
  <c r="V28" i="3"/>
  <c r="V38" i="3"/>
  <c r="V41" i="3"/>
  <c r="AB16" i="9"/>
  <c r="AA60" i="9"/>
  <c r="U29" i="3"/>
  <c r="U318" i="3"/>
  <c r="V34" i="3"/>
  <c r="AB23" i="9"/>
  <c r="AB9" i="9"/>
  <c r="V35" i="3"/>
  <c r="V24" i="3"/>
  <c r="V33" i="3"/>
  <c r="V25" i="3"/>
  <c r="V40" i="3"/>
  <c r="V39" i="3"/>
  <c r="U23" i="3"/>
  <c r="U312" i="3"/>
  <c r="V31" i="3"/>
  <c r="AB18" i="9"/>
  <c r="V26" i="3"/>
  <c r="U27" i="3"/>
  <c r="U316" i="3"/>
  <c r="AB10" i="3"/>
  <c r="F10" i="34" s="1"/>
  <c r="AC10" i="3"/>
  <c r="G10" i="34" s="1"/>
  <c r="V30" i="3"/>
  <c r="AB7" i="9"/>
  <c r="U32" i="3"/>
  <c r="U321" i="3"/>
  <c r="Y31" i="3"/>
  <c r="Y28" i="3"/>
  <c r="X32" i="3"/>
  <c r="X321" i="3"/>
  <c r="X30" i="3"/>
  <c r="X319" i="3"/>
  <c r="AB14" i="10"/>
  <c r="AB11" i="10"/>
  <c r="X29" i="3"/>
  <c r="X318" i="3"/>
  <c r="X41" i="3"/>
  <c r="X330" i="3"/>
  <c r="K8" i="3"/>
  <c r="Y26" i="3"/>
  <c r="Y23" i="3"/>
  <c r="Y22" i="3"/>
  <c r="Y39" i="3"/>
  <c r="Y38" i="3"/>
  <c r="T8" i="3"/>
  <c r="D152" i="32"/>
  <c r="Y37" i="3"/>
  <c r="Y33" i="3"/>
  <c r="X27" i="3"/>
  <c r="X316" i="3"/>
  <c r="AB6" i="10"/>
  <c r="AB4" i="10"/>
  <c r="X21" i="3"/>
  <c r="X310" i="3"/>
  <c r="X40" i="3"/>
  <c r="X329" i="3"/>
  <c r="AB5" i="10"/>
  <c r="AB9" i="10"/>
  <c r="X24" i="3"/>
  <c r="X313" i="3"/>
  <c r="AB20" i="10"/>
  <c r="AB33" i="3"/>
  <c r="AB30" i="3"/>
  <c r="AB28" i="3"/>
  <c r="AB11" i="11"/>
  <c r="AA40" i="3"/>
  <c r="AA329" i="3"/>
  <c r="AB13" i="11"/>
  <c r="AB23" i="3"/>
  <c r="AB35" i="3"/>
  <c r="AB25" i="3"/>
  <c r="AB8" i="11"/>
  <c r="AB12" i="11"/>
  <c r="AB6" i="11"/>
  <c r="AA41" i="3"/>
  <c r="AA330" i="3"/>
  <c r="AA27" i="3"/>
  <c r="AA316" i="3"/>
  <c r="AE10" i="11"/>
  <c r="W50" i="11"/>
  <c r="AB21" i="3"/>
  <c r="AB18" i="11"/>
  <c r="AA26" i="3"/>
  <c r="AA315" i="3"/>
  <c r="AA32" i="3"/>
  <c r="AA321" i="3"/>
  <c r="AB21" i="13"/>
  <c r="AD33" i="3"/>
  <c r="AD322" i="3"/>
  <c r="AD22" i="3"/>
  <c r="AD311" i="3"/>
  <c r="AB11" i="13"/>
  <c r="AB10" i="13"/>
  <c r="AB17" i="13"/>
  <c r="AD36" i="3"/>
  <c r="AD325" i="3"/>
  <c r="AB9" i="13"/>
  <c r="AB18" i="13"/>
  <c r="AE41" i="3"/>
  <c r="AE38" i="3"/>
  <c r="AE23" i="3"/>
  <c r="AB22" i="13"/>
  <c r="AE22" i="3"/>
  <c r="AD27" i="3"/>
  <c r="AD316" i="3"/>
  <c r="AE24" i="3"/>
  <c r="AE40" i="3"/>
  <c r="W46" i="13"/>
  <c r="U10" i="3"/>
  <c r="E154" i="32"/>
  <c r="W51" i="13"/>
  <c r="AE32" i="3"/>
  <c r="AE21" i="3"/>
  <c r="AE31" i="3"/>
  <c r="AE39" i="3"/>
  <c r="AE29" i="3"/>
  <c r="W49" i="13"/>
  <c r="AB15" i="13"/>
  <c r="AB14" i="13"/>
  <c r="AB4" i="13"/>
  <c r="AD35" i="3"/>
  <c r="AD324" i="3"/>
  <c r="AB12" i="13"/>
  <c r="AE10" i="13"/>
  <c r="AD26" i="3"/>
  <c r="AD315" i="3"/>
  <c r="AB7" i="13"/>
  <c r="L10" i="3"/>
  <c r="T10" i="3"/>
  <c r="D154" i="32"/>
  <c r="AE10" i="23"/>
  <c r="AB10" i="23"/>
  <c r="W43" i="23"/>
  <c r="U11" i="3"/>
  <c r="E155" i="32"/>
  <c r="AB15" i="23"/>
  <c r="AB7" i="23"/>
  <c r="AB5" i="23"/>
  <c r="AE19" i="23"/>
  <c r="AB18" i="23"/>
  <c r="AB8" i="23"/>
  <c r="G37" i="23"/>
  <c r="Z37" i="23"/>
  <c r="AB13" i="23"/>
  <c r="AB22" i="23"/>
  <c r="AB12" i="23"/>
  <c r="AB20" i="23"/>
  <c r="AB21" i="23"/>
  <c r="AB11" i="23"/>
  <c r="AB17" i="23"/>
  <c r="AB9" i="23"/>
  <c r="AB19" i="23"/>
  <c r="AG30" i="3"/>
  <c r="AG319" i="3"/>
  <c r="AG25" i="3"/>
  <c r="AG314" i="3"/>
  <c r="AB23" i="23"/>
  <c r="AG28" i="3"/>
  <c r="AG317" i="3"/>
  <c r="AG38" i="3"/>
  <c r="AG327" i="3"/>
  <c r="AB4" i="23"/>
  <c r="AG22" i="3"/>
  <c r="AG311" i="3"/>
  <c r="AH27" i="3"/>
  <c r="AB14" i="23"/>
  <c r="AH36" i="3"/>
  <c r="AG35" i="3"/>
  <c r="AG324" i="3"/>
  <c r="AA37" i="23"/>
  <c r="AG29" i="3"/>
  <c r="AH21" i="3"/>
  <c r="AH23" i="3"/>
  <c r="AH31" i="3"/>
  <c r="F31" i="3"/>
  <c r="AH40" i="3"/>
  <c r="AG34" i="3"/>
  <c r="AG26" i="3"/>
  <c r="AG315" i="3"/>
  <c r="AG24" i="3"/>
  <c r="AG313" i="3"/>
  <c r="AB6" i="23"/>
  <c r="AG37" i="3"/>
  <c r="AG326" i="3"/>
  <c r="AG39" i="3"/>
  <c r="AG33" i="3"/>
  <c r="AG322" i="3"/>
  <c r="AB16" i="23"/>
  <c r="AH41" i="3"/>
  <c r="AB24" i="23"/>
  <c r="E150" i="32"/>
  <c r="E148" i="32"/>
  <c r="I65" i="6"/>
  <c r="E65" i="6"/>
  <c r="AH39" i="3"/>
  <c r="AG328" i="3"/>
  <c r="AH34" i="3"/>
  <c r="AG323" i="3"/>
  <c r="AH29" i="3"/>
  <c r="AG318" i="3"/>
  <c r="S30" i="3"/>
  <c r="R319" i="3"/>
  <c r="AB37" i="3"/>
  <c r="AA326" i="3"/>
  <c r="AB24" i="3"/>
  <c r="AA313" i="3"/>
  <c r="P30" i="3"/>
  <c r="O319" i="3"/>
  <c r="F320" i="3"/>
  <c r="D158" i="32"/>
  <c r="V14" i="3"/>
  <c r="W14" i="3"/>
  <c r="G56" i="3"/>
  <c r="H50" i="3"/>
  <c r="H62" i="3"/>
  <c r="H54" i="3"/>
  <c r="H65" i="3"/>
  <c r="H64" i="3"/>
  <c r="H159" i="3"/>
  <c r="H144" i="3"/>
  <c r="H156" i="3"/>
  <c r="H141" i="3"/>
  <c r="H149" i="3"/>
  <c r="H155" i="3"/>
  <c r="G65" i="3"/>
  <c r="G64" i="3"/>
  <c r="G54" i="3"/>
  <c r="H45" i="3"/>
  <c r="G45" i="3"/>
  <c r="H55" i="3"/>
  <c r="G55" i="3"/>
  <c r="H52" i="3"/>
  <c r="G52" i="3"/>
  <c r="H61" i="3"/>
  <c r="G61" i="3"/>
  <c r="H48" i="3"/>
  <c r="G48" i="3"/>
  <c r="G62" i="3"/>
  <c r="G58" i="3"/>
  <c r="H58" i="3"/>
  <c r="H51" i="3"/>
  <c r="G51" i="3"/>
  <c r="G50" i="3"/>
  <c r="G63" i="3"/>
  <c r="H63" i="3"/>
  <c r="AK42" i="3"/>
  <c r="H152" i="3"/>
  <c r="H140" i="3"/>
  <c r="H142" i="3"/>
  <c r="H145" i="3"/>
  <c r="H151" i="3"/>
  <c r="H148" i="3"/>
  <c r="H150" i="3"/>
  <c r="H143" i="3"/>
  <c r="H146" i="3"/>
  <c r="H158" i="3"/>
  <c r="H153" i="3"/>
  <c r="H147" i="3"/>
  <c r="AB42" i="13"/>
  <c r="AB29" i="3"/>
  <c r="H157" i="3"/>
  <c r="H154" i="3"/>
  <c r="AB65" i="6"/>
  <c r="M26" i="3"/>
  <c r="M33" i="3"/>
  <c r="L42" i="3"/>
  <c r="E4" i="3" s="1"/>
  <c r="F4" i="3"/>
  <c r="M24" i="3"/>
  <c r="P21" i="3"/>
  <c r="E149" i="32"/>
  <c r="F21" i="3"/>
  <c r="F310" i="3" s="1"/>
  <c r="O26" i="3"/>
  <c r="O315" i="3"/>
  <c r="AB9" i="7"/>
  <c r="AB53" i="7"/>
  <c r="AA53" i="7"/>
  <c r="S32" i="3"/>
  <c r="F38" i="3"/>
  <c r="AD10" i="3"/>
  <c r="H10" i="34" s="1"/>
  <c r="AB9" i="3"/>
  <c r="F9" i="34" s="1"/>
  <c r="AC9" i="3"/>
  <c r="G9" i="34" s="1"/>
  <c r="V9" i="3"/>
  <c r="AB13" i="8"/>
  <c r="R27" i="3"/>
  <c r="AB10" i="8"/>
  <c r="S38" i="3"/>
  <c r="AD4" i="3"/>
  <c r="S35" i="3"/>
  <c r="S41" i="3"/>
  <c r="S40" i="3"/>
  <c r="S23" i="3"/>
  <c r="S22" i="3"/>
  <c r="F40" i="3"/>
  <c r="F329" i="3"/>
  <c r="V29" i="3"/>
  <c r="AB60" i="9"/>
  <c r="V27" i="3"/>
  <c r="V23" i="3"/>
  <c r="U42" i="3"/>
  <c r="E7" i="3"/>
  <c r="F7" i="3"/>
  <c r="V32" i="3"/>
  <c r="F23" i="3"/>
  <c r="F312" i="3"/>
  <c r="F41" i="3"/>
  <c r="Y30" i="3"/>
  <c r="Y32" i="3"/>
  <c r="Y29" i="3"/>
  <c r="F32" i="3"/>
  <c r="F321" i="3"/>
  <c r="Y41" i="3"/>
  <c r="C152" i="32"/>
  <c r="AD5" i="3"/>
  <c r="AB5" i="3"/>
  <c r="AC5" i="3"/>
  <c r="Y27" i="3"/>
  <c r="Y24" i="3"/>
  <c r="AD9" i="3"/>
  <c r="H9" i="34" s="1"/>
  <c r="Y40" i="3"/>
  <c r="Y21" i="3"/>
  <c r="AB40" i="3"/>
  <c r="AB45" i="11"/>
  <c r="AB41" i="3"/>
  <c r="AB26" i="3"/>
  <c r="AA42" i="3"/>
  <c r="E9" i="3"/>
  <c r="F9" i="3"/>
  <c r="AB27" i="3"/>
  <c r="AB32" i="3"/>
  <c r="W53" i="11"/>
  <c r="AE36" i="3"/>
  <c r="AE33" i="3"/>
  <c r="AE27" i="3"/>
  <c r="W52" i="13"/>
  <c r="Y49" i="13"/>
  <c r="Y51" i="13"/>
  <c r="K10" i="3"/>
  <c r="AE26" i="3"/>
  <c r="AD42" i="3"/>
  <c r="E10" i="3"/>
  <c r="F10" i="3"/>
  <c r="AE35" i="3"/>
  <c r="E37" i="23"/>
  <c r="K37" i="23"/>
  <c r="F30" i="3"/>
  <c r="AH30" i="3"/>
  <c r="AH25" i="3"/>
  <c r="F28" i="3"/>
  <c r="F317" i="3"/>
  <c r="AH28" i="3"/>
  <c r="F22" i="3"/>
  <c r="F25" i="3"/>
  <c r="F29" i="3"/>
  <c r="AH38" i="3"/>
  <c r="AH24" i="3"/>
  <c r="F39" i="3"/>
  <c r="F328" i="3"/>
  <c r="AH22" i="3"/>
  <c r="AH35" i="3"/>
  <c r="F35" i="3"/>
  <c r="F324" i="3"/>
  <c r="W44" i="23"/>
  <c r="K11" i="3"/>
  <c r="AB37" i="23"/>
  <c r="H31" i="3"/>
  <c r="V14" i="32"/>
  <c r="G31" i="3"/>
  <c r="F24" i="3"/>
  <c r="F313" i="3"/>
  <c r="F37" i="3"/>
  <c r="F326" i="3"/>
  <c r="AH37" i="3"/>
  <c r="AH26" i="3"/>
  <c r="AG42" i="3"/>
  <c r="E11" i="3"/>
  <c r="F11" i="3"/>
  <c r="AH33" i="3"/>
  <c r="W67" i="6"/>
  <c r="W72" i="6"/>
  <c r="K4" i="3"/>
  <c r="M4" i="3"/>
  <c r="T4" i="3"/>
  <c r="D148" i="32"/>
  <c r="W70" i="6"/>
  <c r="W73" i="6"/>
  <c r="C4" i="3" s="1"/>
  <c r="H29" i="3"/>
  <c r="F318" i="3"/>
  <c r="H25" i="3"/>
  <c r="F314" i="3"/>
  <c r="G22" i="3"/>
  <c r="F311" i="3"/>
  <c r="G30" i="3"/>
  <c r="F319" i="3"/>
  <c r="G41" i="3"/>
  <c r="F330" i="3"/>
  <c r="F27" i="3"/>
  <c r="R316" i="3"/>
  <c r="H38" i="3"/>
  <c r="F327" i="3"/>
  <c r="G66" i="3"/>
  <c r="AE42" i="3"/>
  <c r="AD331" i="3"/>
  <c r="M42" i="3"/>
  <c r="V42" i="3"/>
  <c r="Y72" i="6"/>
  <c r="W74" i="6"/>
  <c r="H21" i="3"/>
  <c r="L331" i="3"/>
  <c r="V4" i="32"/>
  <c r="G21" i="3"/>
  <c r="G38" i="3"/>
  <c r="O331" i="3"/>
  <c r="P26" i="3"/>
  <c r="P42" i="3"/>
  <c r="F26" i="3"/>
  <c r="O42" i="3"/>
  <c r="E5" i="3"/>
  <c r="F5" i="3"/>
  <c r="V21" i="32"/>
  <c r="V23" i="32"/>
  <c r="AB42" i="3"/>
  <c r="H41" i="3"/>
  <c r="H23" i="3"/>
  <c r="V24" i="32"/>
  <c r="S27" i="3"/>
  <c r="G40" i="3"/>
  <c r="H40" i="3"/>
  <c r="H27" i="3"/>
  <c r="V10" i="32"/>
  <c r="G23" i="3"/>
  <c r="U331" i="3"/>
  <c r="V6" i="32"/>
  <c r="V15" i="32"/>
  <c r="G32" i="3"/>
  <c r="AA331" i="3"/>
  <c r="C9" i="3"/>
  <c r="Y52" i="11"/>
  <c r="Y51" i="11"/>
  <c r="Y50" i="11"/>
  <c r="V10" i="3"/>
  <c r="C154" i="32"/>
  <c r="C10" i="3"/>
  <c r="W54" i="13"/>
  <c r="Y50" i="13"/>
  <c r="O11" i="3"/>
  <c r="T11" i="3"/>
  <c r="D155" i="32"/>
  <c r="W42" i="23"/>
  <c r="W39" i="23"/>
  <c r="H39" i="3"/>
  <c r="V13" i="32"/>
  <c r="H30" i="3"/>
  <c r="V11" i="32"/>
  <c r="H28" i="3"/>
  <c r="H22" i="3"/>
  <c r="V5" i="32"/>
  <c r="G28" i="3"/>
  <c r="V22" i="32"/>
  <c r="G39" i="3"/>
  <c r="G29" i="3"/>
  <c r="V8" i="32"/>
  <c r="G25" i="3"/>
  <c r="V12" i="32"/>
  <c r="W45" i="23"/>
  <c r="Y42" i="23"/>
  <c r="H35" i="3"/>
  <c r="G35" i="3"/>
  <c r="V18" i="32"/>
  <c r="H24" i="3"/>
  <c r="G24" i="3"/>
  <c r="V7" i="32"/>
  <c r="AG331" i="3"/>
  <c r="AH42" i="3"/>
  <c r="H37" i="3"/>
  <c r="V20" i="32"/>
  <c r="G37" i="3"/>
  <c r="C155" i="32"/>
  <c r="R34" i="3"/>
  <c r="AB17" i="8"/>
  <c r="AA69" i="8"/>
  <c r="AB16" i="8"/>
  <c r="AB69" i="8"/>
  <c r="R33" i="3"/>
  <c r="Y70" i="6"/>
  <c r="Y71" i="6"/>
  <c r="V4" i="3"/>
  <c r="W4" i="3"/>
  <c r="C148" i="32"/>
  <c r="F315" i="3"/>
  <c r="G27" i="3"/>
  <c r="F316" i="3"/>
  <c r="G26" i="3"/>
  <c r="V9" i="32"/>
  <c r="H26" i="3"/>
  <c r="W9" i="3"/>
  <c r="B153" i="32"/>
  <c r="B154" i="32"/>
  <c r="W10" i="3"/>
  <c r="G10" i="3"/>
  <c r="V11" i="3"/>
  <c r="Y44" i="23"/>
  <c r="W47" i="23"/>
  <c r="Y43" i="23"/>
  <c r="C11" i="3"/>
  <c r="G12" i="3"/>
  <c r="R322" i="3"/>
  <c r="S33" i="3"/>
  <c r="F33" i="3"/>
  <c r="R42" i="3"/>
  <c r="E6" i="3" s="1"/>
  <c r="R323" i="3"/>
  <c r="S34" i="3"/>
  <c r="F34" i="3"/>
  <c r="G11" i="3"/>
  <c r="B155" i="32"/>
  <c r="F154" i="32" s="1"/>
  <c r="W11" i="3"/>
  <c r="F323" i="3"/>
  <c r="G34" i="3"/>
  <c r="H34" i="3"/>
  <c r="V17" i="32"/>
  <c r="F6" i="3"/>
  <c r="F322" i="3"/>
  <c r="H33" i="3"/>
  <c r="G33" i="3"/>
  <c r="V16" i="32"/>
  <c r="S42" i="3"/>
  <c r="R331" i="3"/>
  <c r="H5" i="3"/>
  <c r="I60" i="9"/>
  <c r="E60" i="9"/>
  <c r="W67" i="9"/>
  <c r="W62" i="9"/>
  <c r="M7" i="3"/>
  <c r="T7" i="3"/>
  <c r="D151" i="32"/>
  <c r="W65" i="9"/>
  <c r="W68" i="9"/>
  <c r="Y65" i="9"/>
  <c r="K7" i="3"/>
  <c r="Y67" i="9"/>
  <c r="V7" i="3"/>
  <c r="C151" i="32"/>
  <c r="W69" i="9"/>
  <c r="C7" i="3"/>
  <c r="Y66" i="9"/>
  <c r="W7" i="3"/>
  <c r="B151" i="32"/>
  <c r="W64" i="11" l="1"/>
  <c r="P49" i="11"/>
  <c r="G93" i="34"/>
  <c r="E98" i="34"/>
  <c r="H98" i="34" s="1"/>
  <c r="H96" i="34"/>
  <c r="F96" i="34"/>
  <c r="H97" i="34"/>
  <c r="F97" i="34"/>
  <c r="G97" i="34" s="1"/>
  <c r="F91" i="34"/>
  <c r="G91" i="34" s="1"/>
  <c r="G86" i="34"/>
  <c r="H91" i="34"/>
  <c r="F84" i="34"/>
  <c r="G84" i="34" s="1"/>
  <c r="G79" i="34"/>
  <c r="H84" i="34"/>
  <c r="F77" i="34"/>
  <c r="G77" i="34" s="1"/>
  <c r="G71" i="34"/>
  <c r="H77" i="34"/>
  <c r="F69" i="34"/>
  <c r="G69" i="34" s="1"/>
  <c r="G63" i="34"/>
  <c r="H69" i="34"/>
  <c r="F61" i="34"/>
  <c r="G61" i="34" s="1"/>
  <c r="G53" i="34"/>
  <c r="H61" i="34"/>
  <c r="E52" i="7"/>
  <c r="I53" i="7" s="1"/>
  <c r="E53" i="7"/>
  <c r="G4" i="3"/>
  <c r="B148" i="32"/>
  <c r="G159" i="32" s="1"/>
  <c r="F66" i="3"/>
  <c r="G69" i="3"/>
  <c r="G90" i="3" s="1"/>
  <c r="H69" i="3"/>
  <c r="H70" i="3"/>
  <c r="H71" i="3"/>
  <c r="H72" i="3"/>
  <c r="H73" i="3"/>
  <c r="H74" i="3"/>
  <c r="H75" i="3"/>
  <c r="H76" i="3"/>
  <c r="H77" i="3"/>
  <c r="H78" i="3"/>
  <c r="H79" i="3"/>
  <c r="H81" i="3"/>
  <c r="H82" i="3"/>
  <c r="H83" i="3"/>
  <c r="H84" i="3"/>
  <c r="H85" i="3"/>
  <c r="H86" i="3"/>
  <c r="H87" i="3"/>
  <c r="H88" i="3"/>
  <c r="H89" i="3"/>
  <c r="W47" i="11"/>
  <c r="W55" i="11" s="1"/>
  <c r="F155" i="32"/>
  <c r="F157" i="32"/>
  <c r="F159" i="32"/>
  <c r="F158" i="32"/>
  <c r="G96" i="34" l="1"/>
  <c r="F98" i="34"/>
  <c r="G98" i="34" s="1"/>
  <c r="W55" i="7"/>
  <c r="W60" i="7"/>
  <c r="M5" i="3"/>
  <c r="T5" i="3" s="1"/>
  <c r="D149" i="32" s="1"/>
  <c r="W58" i="7"/>
  <c r="F148" i="32"/>
  <c r="Z11" i="3"/>
  <c r="AB6" i="3"/>
  <c r="AD6" i="3"/>
  <c r="H6" i="34" s="1"/>
  <c r="AB19" i="10"/>
  <c r="AB62" i="10" s="1"/>
  <c r="X36" i="3"/>
  <c r="AA62" i="10"/>
  <c r="AB11" i="3" l="1"/>
  <c r="F6" i="34"/>
  <c r="AD11" i="3"/>
  <c r="H11" i="34" s="1"/>
  <c r="D11" i="34"/>
  <c r="W61" i="7"/>
  <c r="Y58" i="7"/>
  <c r="K5" i="3"/>
  <c r="Y60" i="7"/>
  <c r="AC6" i="3"/>
  <c r="G6" i="34" s="1"/>
  <c r="Y36" i="3"/>
  <c r="Y42" i="3" s="1"/>
  <c r="X325" i="3"/>
  <c r="X331" i="3" s="1"/>
  <c r="F36" i="3"/>
  <c r="X42" i="3"/>
  <c r="E8" i="3" s="1"/>
  <c r="F11" i="34" l="1"/>
  <c r="AB12" i="3"/>
  <c r="V5" i="3"/>
  <c r="C149" i="32"/>
  <c r="Y59" i="7"/>
  <c r="W63" i="7"/>
  <c r="C5" i="3"/>
  <c r="AC11" i="3"/>
  <c r="G11" i="34" s="1"/>
  <c r="F8" i="3"/>
  <c r="F16" i="3" s="1"/>
  <c r="E16" i="3"/>
  <c r="F325" i="3"/>
  <c r="F331" i="3" s="1"/>
  <c r="H36" i="3"/>
  <c r="G36" i="3"/>
  <c r="G42" i="3" s="1"/>
  <c r="V19" i="32"/>
  <c r="V25" i="32" s="1"/>
  <c r="F42" i="3"/>
  <c r="AE15" i="10"/>
  <c r="AE21" i="10"/>
  <c r="H8" i="3" s="1"/>
  <c r="H17" i="3"/>
  <c r="H16" i="3"/>
  <c r="P62" i="10"/>
  <c r="W5" i="3" l="1"/>
  <c r="B149" i="32"/>
  <c r="F149" i="32" s="1"/>
  <c r="G5" i="3"/>
  <c r="W68" i="10"/>
  <c r="W70" i="10" s="1"/>
  <c r="W72" i="10" l="1"/>
  <c r="Y68" i="10"/>
  <c r="U8" i="3"/>
  <c r="V8" i="3" l="1"/>
  <c r="E152" i="32"/>
  <c r="C8" i="3"/>
  <c r="Y69" i="10"/>
  <c r="Y67" i="10"/>
  <c r="G8" i="3" l="1"/>
  <c r="G9" i="3"/>
  <c r="B152" i="32"/>
  <c r="W8" i="3"/>
  <c r="F152" i="32" l="1"/>
  <c r="F153" i="32"/>
  <c r="G69" i="8"/>
  <c r="I69" i="8"/>
  <c r="M6" i="3" s="1"/>
  <c r="T6" i="3" s="1"/>
  <c r="D150" i="32" s="1"/>
  <c r="W74" i="8"/>
  <c r="E69" i="8" l="1"/>
  <c r="W71" i="8" l="1"/>
  <c r="W76" i="8"/>
  <c r="K6" i="3" l="1"/>
  <c r="W77" i="8"/>
  <c r="W79" i="8" l="1"/>
  <c r="Y76" i="8" s="1"/>
  <c r="C6" i="3"/>
  <c r="Y74" i="8"/>
  <c r="C150" i="32"/>
  <c r="V6" i="3"/>
  <c r="G6" i="3" l="1"/>
  <c r="G7" i="3"/>
  <c r="W6" i="3"/>
  <c r="B150" i="32"/>
  <c r="F151" i="32" l="1"/>
  <c r="F150" i="32"/>
  <c r="G16" i="3"/>
  <c r="G17" i="3"/>
  <c r="E51" i="34"/>
  <c r="H51" i="34" s="1"/>
  <c r="F46" i="34"/>
  <c r="H46" i="34"/>
  <c r="F50" i="34"/>
  <c r="G50" i="34" s="1"/>
  <c r="H50" i="34"/>
  <c r="F51" i="34" l="1"/>
  <c r="G51" i="34" s="1"/>
  <c r="G46" i="34"/>
</calcChain>
</file>

<file path=xl/sharedStrings.xml><?xml version="1.0" encoding="utf-8"?>
<sst xmlns="http://schemas.openxmlformats.org/spreadsheetml/2006/main" count="2953" uniqueCount="225">
  <si>
    <t xml:space="preserve">Month </t>
  </si>
  <si>
    <t xml:space="preserve">Net </t>
  </si>
  <si>
    <t>Checking</t>
  </si>
  <si>
    <t>Savings</t>
  </si>
  <si>
    <t>Investment</t>
  </si>
  <si>
    <t>Change %
MoM</t>
  </si>
  <si>
    <t>Change %
YoY</t>
  </si>
  <si>
    <t>Category</t>
  </si>
  <si>
    <t>Cable</t>
  </si>
  <si>
    <t>Car Insurance</t>
  </si>
  <si>
    <t>Cleaners</t>
  </si>
  <si>
    <t>Clothes</t>
  </si>
  <si>
    <t>Utilities</t>
  </si>
  <si>
    <t>Dining</t>
  </si>
  <si>
    <t>Entertainment</t>
  </si>
  <si>
    <t>Gas</t>
  </si>
  <si>
    <t>Gifts</t>
  </si>
  <si>
    <t>Grocery</t>
  </si>
  <si>
    <t>Gym</t>
  </si>
  <si>
    <t>Loan</t>
  </si>
  <si>
    <t>Misc</t>
  </si>
  <si>
    <t>Offering</t>
  </si>
  <si>
    <t>Rent</t>
  </si>
  <si>
    <t>Travel</t>
  </si>
  <si>
    <t>Parents</t>
  </si>
  <si>
    <t>Car</t>
  </si>
  <si>
    <t>House</t>
  </si>
  <si>
    <t>School</t>
  </si>
  <si>
    <t>Baby Sitter</t>
  </si>
  <si>
    <t>Total</t>
  </si>
  <si>
    <t>Sum of 2014</t>
  </si>
  <si>
    <t>Sum of 2015</t>
  </si>
  <si>
    <t>Sum of 2016</t>
  </si>
  <si>
    <t>Sum of 2017</t>
  </si>
  <si>
    <t>Sum of 2018</t>
  </si>
  <si>
    <t>Sum of 2019</t>
  </si>
  <si>
    <t>Sum of 2020</t>
  </si>
  <si>
    <t>Sum of 2021</t>
  </si>
  <si>
    <t>Sum of 2022</t>
  </si>
  <si>
    <t>Sum of 2023</t>
  </si>
  <si>
    <t>Sum of 2024</t>
  </si>
  <si>
    <t>Sum of 2025</t>
  </si>
  <si>
    <t>Sum of 2026</t>
  </si>
  <si>
    <t>Investment*</t>
  </si>
  <si>
    <t>Invest</t>
  </si>
  <si>
    <t>Gain/ (Loss)</t>
  </si>
  <si>
    <t>FMV</t>
  </si>
  <si>
    <t>% Increase</t>
  </si>
  <si>
    <t>% Gained</t>
  </si>
  <si>
    <t>Etrade</t>
  </si>
  <si>
    <t>BC</t>
  </si>
  <si>
    <t xml:space="preserve">Roth IRA </t>
  </si>
  <si>
    <t>TSP</t>
  </si>
  <si>
    <t>UTMA</t>
  </si>
  <si>
    <t>401K / Pension</t>
  </si>
  <si>
    <t>Chase/AMEX</t>
  </si>
  <si>
    <t>TOTAL</t>
  </si>
  <si>
    <t>KPMG Pension</t>
  </si>
  <si>
    <t>Lending Club</t>
  </si>
  <si>
    <t>Card</t>
  </si>
  <si>
    <t>Budget</t>
  </si>
  <si>
    <t>Actual</t>
  </si>
  <si>
    <t>Variance</t>
  </si>
  <si>
    <t xml:space="preserve">Change </t>
  </si>
  <si>
    <t>Investment Earning</t>
  </si>
  <si>
    <t>Checkings</t>
  </si>
  <si>
    <t>Buy</t>
  </si>
  <si>
    <t xml:space="preserve">House </t>
  </si>
  <si>
    <t>Kids</t>
  </si>
  <si>
    <t>Emergency</t>
  </si>
  <si>
    <t>check</t>
  </si>
  <si>
    <t>Riley (UTMA)</t>
  </si>
  <si>
    <t>Average</t>
  </si>
  <si>
    <t>% of Total</t>
  </si>
  <si>
    <t>Nov</t>
  </si>
  <si>
    <t>Compassion</t>
  </si>
  <si>
    <t>Difference from PY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</si>
  <si>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</si>
  <si>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</si>
  <si>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</si>
  <si>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</si>
  <si>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</si>
  <si>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</si>
  <si>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</si>
  <si>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</si>
  <si>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</si>
  <si>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</si>
  <si>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</si>
  <si>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</si>
  <si>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Riley</t>
  </si>
  <si>
    <t>Caleb</t>
  </si>
  <si>
    <t>Date</t>
  </si>
  <si>
    <t>From</t>
  </si>
  <si>
    <t>Description</t>
  </si>
  <si>
    <t>Transaction</t>
  </si>
  <si>
    <t>Grandparents (Yoons)</t>
  </si>
  <si>
    <t>Dohl Gift</t>
  </si>
  <si>
    <t>Granparents (Yoons and Kims)</t>
  </si>
  <si>
    <t>New Year's</t>
  </si>
  <si>
    <t>Granparents (Kims)</t>
  </si>
  <si>
    <t>100 Day</t>
  </si>
  <si>
    <t>Danny and Annie Roh</t>
  </si>
  <si>
    <t>Grandparents (Kims)</t>
  </si>
  <si>
    <t>Stephanie and James</t>
  </si>
  <si>
    <t>Janet (Peony's friend)</t>
  </si>
  <si>
    <t>Chaucer and Sarah</t>
  </si>
  <si>
    <t>Appa and Umma</t>
  </si>
  <si>
    <t>N/A</t>
  </si>
  <si>
    <t>Rina</t>
  </si>
  <si>
    <t>Rinas parents</t>
  </si>
  <si>
    <t>2year BDAY</t>
  </si>
  <si>
    <t>CC</t>
  </si>
  <si>
    <t>SAVINGS</t>
  </si>
  <si>
    <t>INVESTMENT</t>
  </si>
  <si>
    <t>Name</t>
  </si>
  <si>
    <t>Categorization</t>
  </si>
  <si>
    <t>PK</t>
  </si>
  <si>
    <t>Main</t>
  </si>
  <si>
    <t>Chase</t>
  </si>
  <si>
    <t>Child</t>
  </si>
  <si>
    <t>E-Home</t>
  </si>
  <si>
    <t>Roth IRA</t>
  </si>
  <si>
    <t>KPMG</t>
  </si>
  <si>
    <t>USAA</t>
  </si>
  <si>
    <t>401K</t>
  </si>
  <si>
    <t>Budget to Actual</t>
  </si>
  <si>
    <t>Activity</t>
  </si>
  <si>
    <t>Investment Activity</t>
  </si>
  <si>
    <t>Invested Amount for month</t>
  </si>
  <si>
    <t>Ecar</t>
  </si>
  <si>
    <t>LC</t>
  </si>
  <si>
    <t>Roth</t>
  </si>
  <si>
    <t>Gain/Loss in Investment</t>
  </si>
  <si>
    <t>Chase &amp; Amex</t>
  </si>
  <si>
    <t>Balance</t>
  </si>
  <si>
    <t>PERCENTAGE</t>
  </si>
  <si>
    <t>Total Savings</t>
  </si>
  <si>
    <t>Total Investments</t>
  </si>
  <si>
    <t>Total Checking</t>
  </si>
  <si>
    <t>Mortgage</t>
  </si>
  <si>
    <t>Utilities HOA</t>
  </si>
  <si>
    <t>Baby SItter</t>
  </si>
  <si>
    <t xml:space="preserve">Offering - Radiance </t>
  </si>
  <si>
    <t>Offering - Tithly</t>
  </si>
  <si>
    <t>Offering - Serge</t>
  </si>
  <si>
    <t>Cable - WSJ</t>
  </si>
  <si>
    <t>Offering - Crosspoint</t>
  </si>
  <si>
    <t>Cable - Netflix</t>
  </si>
  <si>
    <t>Cable - Claude</t>
  </si>
  <si>
    <t>Payment</t>
  </si>
  <si>
    <t>Reserve</t>
  </si>
  <si>
    <t>Pending</t>
  </si>
  <si>
    <t>Loss / (Gain)</t>
  </si>
  <si>
    <t>Freedom</t>
  </si>
  <si>
    <t>Mkt Value</t>
  </si>
  <si>
    <t>Liability</t>
  </si>
  <si>
    <t>Equity</t>
  </si>
  <si>
    <t>NetWorth</t>
  </si>
  <si>
    <t>Offering - GRC</t>
  </si>
  <si>
    <t>Offernig - Serge</t>
  </si>
  <si>
    <t>Offering - Radiance</t>
  </si>
  <si>
    <t>Offering- Crosspoint</t>
  </si>
  <si>
    <t>Chair</t>
  </si>
  <si>
    <t>Gym - LA Fitness</t>
  </si>
  <si>
    <t>Offering - Compassion</t>
  </si>
  <si>
    <t>Offering - Ethnos</t>
  </si>
  <si>
    <t xml:space="preserve">Cable - Fubo </t>
  </si>
  <si>
    <t xml:space="preserve">Haircut </t>
  </si>
  <si>
    <t>Dining - Shakeshack</t>
  </si>
  <si>
    <t>Gym - GLF</t>
  </si>
  <si>
    <t>Paycheck</t>
  </si>
  <si>
    <t>Cable - ESPN</t>
  </si>
  <si>
    <t>AM Home Warranty</t>
  </si>
  <si>
    <t>Clothes - Riley</t>
  </si>
  <si>
    <t>Growing Room</t>
  </si>
  <si>
    <t>IRWD</t>
  </si>
  <si>
    <t>Travel - Legoland</t>
  </si>
  <si>
    <t>Utilities - Edison</t>
  </si>
  <si>
    <t>Parents - Hotel - Travel</t>
  </si>
  <si>
    <t>Cable - ATT</t>
  </si>
  <si>
    <t>Cable - Burry</t>
  </si>
  <si>
    <t>House - Dishes</t>
  </si>
  <si>
    <t>Golf</t>
  </si>
  <si>
    <t>Tax</t>
  </si>
  <si>
    <t>Cable - ESPN and Microsoft</t>
  </si>
  <si>
    <t>Utilities - AM Warranty</t>
  </si>
  <si>
    <t>Car Oil Change</t>
  </si>
  <si>
    <t>IRWD Utilities</t>
  </si>
  <si>
    <t>Cable - ChatGPT</t>
  </si>
  <si>
    <t>Cable - COX</t>
  </si>
  <si>
    <t>Utilities - ATT</t>
  </si>
  <si>
    <t>INvestment</t>
  </si>
  <si>
    <t>Cable - Fubo TV</t>
  </si>
  <si>
    <t xml:space="preserve">Gas </t>
  </si>
  <si>
    <t>Cable - Paramount</t>
  </si>
  <si>
    <t>UAM Warranty</t>
  </si>
  <si>
    <t>Haircut</t>
  </si>
  <si>
    <t>DIning</t>
  </si>
  <si>
    <t>Cable - Michael Burry</t>
  </si>
  <si>
    <t>Utilities - Socal Gas</t>
  </si>
  <si>
    <t>Peony</t>
  </si>
  <si>
    <t>Dininig</t>
  </si>
  <si>
    <t xml:space="preserve">Gofl </t>
  </si>
  <si>
    <t>House Stuff</t>
  </si>
  <si>
    <t xml:space="preserve">Bruno Mars </t>
  </si>
  <si>
    <t>AM Warranty</t>
  </si>
  <si>
    <t>Investmnet</t>
  </si>
  <si>
    <t>Misc-Cleaning</t>
  </si>
  <si>
    <t>Cable - Substack</t>
  </si>
  <si>
    <t>Crocery</t>
  </si>
  <si>
    <t>.</t>
  </si>
  <si>
    <t>CHECKING</t>
  </si>
  <si>
    <t>Cable -ChatGPT</t>
  </si>
  <si>
    <t xml:space="preserve">Cable </t>
  </si>
  <si>
    <t xml:space="preserve">Dining </t>
  </si>
  <si>
    <t>Gifts - Riley</t>
  </si>
  <si>
    <t>House - Camping Gear</t>
  </si>
  <si>
    <t>Cable - Microsoft</t>
  </si>
  <si>
    <t>House - Baby Stuff</t>
  </si>
  <si>
    <t>Utilities - IRWD + Warranty</t>
  </si>
  <si>
    <t>Cable - Peacock</t>
  </si>
  <si>
    <t>Cable - Netflix ChatGPT</t>
  </si>
  <si>
    <t>Cable - Ring</t>
  </si>
  <si>
    <t xml:space="preserve">Grocery </t>
  </si>
  <si>
    <t>Misc- 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</si>
</sst>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0.00_);[Red]\(0.00\)"/>
    <numFmt numFmtId="167" formatCode="#,##0.0000_);[Red]\(#,##0.0000\)"/>
    <numFmt numFmtId="168" formatCode="0.0%"/>
    <numFmt numFmtId="169" formatCode="[$-409]mmmm\-yy;@"/>
    <numFmt numFmtId="170" formatCode="_([$$-409]* #,##0.00_);_([$$-409]* \(#,##0.00\);_([$$-409]* &quot;-&quot;??_);_(@_)"/>
    <numFmt numFmtId="171" formatCode="&quot;$&quot;#,##0.00"/>
  </numFmts>
  <fonts count="25"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돋움"/>
      <family val="3"/>
      <charset val="129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rgb="FF00B050"/>
      <name val="Tahoma"/>
      <family val="2"/>
    </font>
    <font>
      <i/>
      <sz val="10"/>
      <color theme="1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00B050"/>
      <name val="Tahoma"/>
      <family val="2"/>
    </font>
    <font>
      <b/>
      <sz val="10"/>
      <color theme="1"/>
      <name val="Tahoma"/>
    </font>
    <font>
      <b/>
      <sz val="10"/>
      <color rgb="FFFF0000"/>
      <name val="Tahoma"/>
    </font>
    <font>
      <sz val="10"/>
      <color theme="1"/>
      <name val="Tahoma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 style="medium">
        <color rgb="FF000000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/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52">
    <xf numFmtId="0" fontId="0" fillId="0" borderId="0" xfId="0"/>
    <xf numFmtId="43" fontId="0" fillId="0" borderId="0" xfId="1" applyFont="1"/>
    <xf numFmtId="0" fontId="6" fillId="0" borderId="0" xfId="0" applyFont="1"/>
    <xf numFmtId="0" fontId="5" fillId="0" borderId="22" xfId="0" applyFont="1" applyBorder="1" applyAlignment="1">
      <alignment horizontal="left"/>
    </xf>
    <xf numFmtId="40" fontId="5" fillId="6" borderId="21" xfId="1" applyNumberFormat="1" applyFont="1" applyFill="1" applyBorder="1" applyAlignment="1">
      <alignment horizontal="center"/>
    </xf>
    <xf numFmtId="40" fontId="5" fillId="6" borderId="15" xfId="1" applyNumberFormat="1" applyFont="1" applyFill="1" applyBorder="1" applyAlignment="1">
      <alignment horizontal="center"/>
    </xf>
    <xf numFmtId="40" fontId="5" fillId="5" borderId="20" xfId="1" applyNumberFormat="1" applyFont="1" applyFill="1" applyBorder="1" applyAlignment="1">
      <alignment horizontal="center"/>
    </xf>
    <xf numFmtId="40" fontId="5" fillId="5" borderId="21" xfId="1" applyNumberFormat="1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40" fontId="5" fillId="10" borderId="15" xfId="1" applyNumberFormat="1" applyFont="1" applyFill="1" applyBorder="1" applyAlignment="1">
      <alignment horizontal="center" wrapText="1"/>
    </xf>
    <xf numFmtId="0" fontId="8" fillId="0" borderId="0" xfId="0" applyFont="1"/>
    <xf numFmtId="0" fontId="6" fillId="0" borderId="1" xfId="0" applyFont="1" applyBorder="1"/>
    <xf numFmtId="0" fontId="5" fillId="0" borderId="29" xfId="0" applyFont="1" applyBorder="1"/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4" xfId="0" applyFont="1" applyBorder="1"/>
    <xf numFmtId="0" fontId="6" fillId="0" borderId="26" xfId="0" applyFont="1" applyBorder="1"/>
    <xf numFmtId="40" fontId="6" fillId="0" borderId="6" xfId="1" applyNumberFormat="1" applyFont="1" applyBorder="1"/>
    <xf numFmtId="0" fontId="6" fillId="0" borderId="5" xfId="0" applyFont="1" applyBorder="1"/>
    <xf numFmtId="165" fontId="6" fillId="0" borderId="0" xfId="1" applyNumberFormat="1" applyFont="1" applyFill="1" applyBorder="1" applyAlignment="1"/>
    <xf numFmtId="0" fontId="6" fillId="0" borderId="6" xfId="0" applyFont="1" applyBorder="1"/>
    <xf numFmtId="0" fontId="5" fillId="0" borderId="5" xfId="0" applyFont="1" applyBorder="1"/>
    <xf numFmtId="43" fontId="6" fillId="0" borderId="0" xfId="1" applyFont="1" applyFill="1" applyBorder="1" applyAlignment="1"/>
    <xf numFmtId="43" fontId="6" fillId="0" borderId="0" xfId="1" applyFont="1" applyFill="1" applyBorder="1"/>
    <xf numFmtId="40" fontId="6" fillId="0" borderId="0" xfId="0" applyNumberFormat="1" applyFont="1"/>
    <xf numFmtId="43" fontId="6" fillId="0" borderId="0" xfId="1" applyFont="1"/>
    <xf numFmtId="164" fontId="6" fillId="0" borderId="6" xfId="1" applyNumberFormat="1" applyFont="1" applyFill="1" applyBorder="1"/>
    <xf numFmtId="14" fontId="6" fillId="7" borderId="0" xfId="0" applyNumberFormat="1" applyFont="1" applyFill="1" applyAlignment="1">
      <alignment horizontal="left"/>
    </xf>
    <xf numFmtId="14" fontId="6" fillId="7" borderId="1" xfId="0" applyNumberFormat="1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0" borderId="7" xfId="0" applyFont="1" applyBorder="1"/>
    <xf numFmtId="0" fontId="5" fillId="0" borderId="0" xfId="0" applyFont="1"/>
    <xf numFmtId="43" fontId="5" fillId="0" borderId="1" xfId="0" applyNumberFormat="1" applyFont="1" applyBorder="1"/>
    <xf numFmtId="40" fontId="10" fillId="0" borderId="0" xfId="1" applyNumberFormat="1" applyFont="1"/>
    <xf numFmtId="43" fontId="6" fillId="0" borderId="0" xfId="0" applyNumberFormat="1" applyFont="1"/>
    <xf numFmtId="40" fontId="6" fillId="9" borderId="0" xfId="1" applyNumberFormat="1" applyFont="1" applyFill="1"/>
    <xf numFmtId="40" fontId="10" fillId="9" borderId="0" xfId="1" applyNumberFormat="1" applyFont="1" applyFill="1"/>
    <xf numFmtId="0" fontId="6" fillId="9" borderId="0" xfId="0" applyFont="1" applyFill="1"/>
    <xf numFmtId="0" fontId="5" fillId="9" borderId="1" xfId="0" applyFont="1" applyFill="1" applyBorder="1"/>
    <xf numFmtId="40" fontId="5" fillId="9" borderId="0" xfId="1" applyNumberFormat="1" applyFont="1" applyFill="1"/>
    <xf numFmtId="43" fontId="5" fillId="9" borderId="0" xfId="1" applyFont="1" applyFill="1"/>
    <xf numFmtId="9" fontId="5" fillId="9" borderId="0" xfId="3" applyFont="1" applyFill="1" applyAlignment="1">
      <alignment horizontal="left"/>
    </xf>
    <xf numFmtId="40" fontId="8" fillId="9" borderId="0" xfId="1" applyNumberFormat="1" applyFont="1" applyFill="1"/>
    <xf numFmtId="9" fontId="6" fillId="9" borderId="0" xfId="3" applyFont="1" applyFill="1"/>
    <xf numFmtId="43" fontId="10" fillId="9" borderId="0" xfId="1" applyFont="1" applyFill="1"/>
    <xf numFmtId="166" fontId="5" fillId="6" borderId="11" xfId="1" applyNumberFormat="1" applyFont="1" applyFill="1" applyBorder="1" applyAlignment="1">
      <alignment horizontal="center"/>
    </xf>
    <xf numFmtId="166" fontId="5" fillId="6" borderId="12" xfId="1" applyNumberFormat="1" applyFont="1" applyFill="1" applyBorder="1" applyAlignment="1">
      <alignment horizontal="center"/>
    </xf>
    <xf numFmtId="40" fontId="6" fillId="0" borderId="5" xfId="0" applyNumberFormat="1" applyFont="1" applyBorder="1"/>
    <xf numFmtId="0" fontId="6" fillId="0" borderId="22" xfId="0" applyFont="1" applyBorder="1"/>
    <xf numFmtId="0" fontId="6" fillId="0" borderId="8" xfId="0" applyFont="1" applyBorder="1"/>
    <xf numFmtId="165" fontId="6" fillId="0" borderId="0" xfId="1" applyNumberFormat="1" applyFont="1"/>
    <xf numFmtId="0" fontId="5" fillId="0" borderId="0" xfId="0" applyFont="1" applyAlignment="1">
      <alignment horizontal="center" wrapText="1"/>
    </xf>
    <xf numFmtId="0" fontId="5" fillId="4" borderId="21" xfId="0" applyFont="1" applyFill="1" applyBorder="1" applyAlignment="1">
      <alignment horizontal="center" wrapText="1"/>
    </xf>
    <xf numFmtId="17" fontId="6" fillId="4" borderId="20" xfId="0" applyNumberFormat="1" applyFont="1" applyFill="1" applyBorder="1" applyAlignment="1">
      <alignment horizontal="center"/>
    </xf>
    <xf numFmtId="0" fontId="5" fillId="4" borderId="5" xfId="0" applyFont="1" applyFill="1" applyBorder="1"/>
    <xf numFmtId="17" fontId="6" fillId="4" borderId="5" xfId="0" applyNumberFormat="1" applyFont="1" applyFill="1" applyBorder="1" applyAlignment="1">
      <alignment horizontal="center"/>
    </xf>
    <xf numFmtId="17" fontId="6" fillId="4" borderId="7" xfId="0" applyNumberFormat="1" applyFont="1" applyFill="1" applyBorder="1" applyAlignment="1">
      <alignment horizontal="center"/>
    </xf>
    <xf numFmtId="40" fontId="6" fillId="0" borderId="1" xfId="0" applyNumberFormat="1" applyFont="1" applyBorder="1"/>
    <xf numFmtId="0" fontId="5" fillId="5" borderId="3" xfId="0" applyFont="1" applyFill="1" applyBorder="1" applyAlignment="1">
      <alignment horizontal="center"/>
    </xf>
    <xf numFmtId="0" fontId="5" fillId="0" borderId="3" xfId="0" applyFont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9" xfId="0" applyFont="1" applyBorder="1"/>
    <xf numFmtId="40" fontId="6" fillId="0" borderId="21" xfId="1" applyNumberFormat="1" applyFont="1" applyBorder="1"/>
    <xf numFmtId="9" fontId="6" fillId="0" borderId="19" xfId="3" applyFont="1" applyBorder="1"/>
    <xf numFmtId="0" fontId="6" fillId="0" borderId="9" xfId="0" applyFont="1" applyBorder="1"/>
    <xf numFmtId="40" fontId="6" fillId="0" borderId="0" xfId="1" applyNumberFormat="1" applyFont="1" applyBorder="1"/>
    <xf numFmtId="9" fontId="6" fillId="0" borderId="9" xfId="3" applyFont="1" applyBorder="1"/>
    <xf numFmtId="40" fontId="6" fillId="0" borderId="9" xfId="0" applyNumberFormat="1" applyFont="1" applyBorder="1"/>
    <xf numFmtId="9" fontId="6" fillId="0" borderId="10" xfId="3" applyFont="1" applyBorder="1"/>
    <xf numFmtId="0" fontId="5" fillId="0" borderId="10" xfId="0" applyFont="1" applyBorder="1"/>
    <xf numFmtId="43" fontId="5" fillId="0" borderId="11" xfId="0" applyNumberFormat="1" applyFont="1" applyBorder="1"/>
    <xf numFmtId="43" fontId="5" fillId="0" borderId="12" xfId="0" applyNumberFormat="1" applyFont="1" applyBorder="1"/>
    <xf numFmtId="0" fontId="5" fillId="0" borderId="7" xfId="0" applyFont="1" applyBorder="1"/>
    <xf numFmtId="43" fontId="6" fillId="0" borderId="22" xfId="0" applyNumberFormat="1" applyFont="1" applyBorder="1"/>
    <xf numFmtId="40" fontId="6" fillId="0" borderId="15" xfId="1" applyNumberFormat="1" applyFont="1" applyBorder="1"/>
    <xf numFmtId="43" fontId="12" fillId="0" borderId="13" xfId="0" applyNumberFormat="1" applyFont="1" applyBorder="1"/>
    <xf numFmtId="0" fontId="6" fillId="0" borderId="20" xfId="0" applyFont="1" applyBorder="1"/>
    <xf numFmtId="166" fontId="6" fillId="0" borderId="21" xfId="0" applyNumberFormat="1" applyFont="1" applyBorder="1"/>
    <xf numFmtId="0" fontId="6" fillId="0" borderId="15" xfId="0" applyFont="1" applyBorder="1"/>
    <xf numFmtId="166" fontId="6" fillId="0" borderId="20" xfId="0" applyNumberFormat="1" applyFont="1" applyBorder="1"/>
    <xf numFmtId="166" fontId="6" fillId="0" borderId="15" xfId="0" applyNumberFormat="1" applyFont="1" applyBorder="1"/>
    <xf numFmtId="166" fontId="6" fillId="0" borderId="0" xfId="0" applyNumberFormat="1" applyFont="1"/>
    <xf numFmtId="166" fontId="6" fillId="0" borderId="5" xfId="0" applyNumberFormat="1" applyFont="1" applyBorder="1"/>
    <xf numFmtId="166" fontId="6" fillId="0" borderId="6" xfId="0" applyNumberFormat="1" applyFont="1" applyBorder="1"/>
    <xf numFmtId="166" fontId="6" fillId="0" borderId="22" xfId="0" applyNumberFormat="1" applyFont="1" applyBorder="1"/>
    <xf numFmtId="0" fontId="6" fillId="0" borderId="10" xfId="0" applyFont="1" applyBorder="1"/>
    <xf numFmtId="166" fontId="6" fillId="0" borderId="7" xfId="0" applyNumberFormat="1" applyFont="1" applyBorder="1"/>
    <xf numFmtId="166" fontId="6" fillId="0" borderId="8" xfId="0" applyNumberFormat="1" applyFont="1" applyBorder="1"/>
    <xf numFmtId="0" fontId="6" fillId="0" borderId="11" xfId="0" applyFont="1" applyBorder="1"/>
    <xf numFmtId="0" fontId="6" fillId="0" borderId="13" xfId="0" applyFont="1" applyBorder="1"/>
    <xf numFmtId="14" fontId="6" fillId="7" borderId="16" xfId="0" applyNumberFormat="1" applyFont="1" applyFill="1" applyBorder="1" applyAlignment="1">
      <alignment horizontal="left"/>
    </xf>
    <xf numFmtId="14" fontId="6" fillId="7" borderId="5" xfId="0" applyNumberFormat="1" applyFont="1" applyFill="1" applyBorder="1" applyAlignment="1">
      <alignment horizontal="left"/>
    </xf>
    <xf numFmtId="43" fontId="5" fillId="0" borderId="0" xfId="0" applyNumberFormat="1" applyFont="1"/>
    <xf numFmtId="40" fontId="5" fillId="0" borderId="0" xfId="1" applyNumberFormat="1" applyFont="1" applyFill="1"/>
    <xf numFmtId="0" fontId="6" fillId="7" borderId="16" xfId="0" applyFont="1" applyFill="1" applyBorder="1"/>
    <xf numFmtId="0" fontId="6" fillId="7" borderId="31" xfId="0" applyFont="1" applyFill="1" applyBorder="1"/>
    <xf numFmtId="0" fontId="6" fillId="0" borderId="17" xfId="0" applyFont="1" applyBorder="1"/>
    <xf numFmtId="0" fontId="5" fillId="0" borderId="25" xfId="0" applyFont="1" applyBorder="1"/>
    <xf numFmtId="43" fontId="5" fillId="0" borderId="23" xfId="0" applyNumberFormat="1" applyFont="1" applyBorder="1"/>
    <xf numFmtId="0" fontId="6" fillId="0" borderId="23" xfId="0" applyFont="1" applyBorder="1"/>
    <xf numFmtId="0" fontId="6" fillId="0" borderId="28" xfId="0" applyFont="1" applyBorder="1"/>
    <xf numFmtId="43" fontId="6" fillId="0" borderId="1" xfId="1" applyFont="1" applyFill="1" applyBorder="1"/>
    <xf numFmtId="40" fontId="6" fillId="0" borderId="0" xfId="1" applyNumberFormat="1" applyFont="1"/>
    <xf numFmtId="0" fontId="5" fillId="0" borderId="19" xfId="0" applyFont="1" applyBorder="1"/>
    <xf numFmtId="0" fontId="6" fillId="0" borderId="21" xfId="0" applyFont="1" applyBorder="1"/>
    <xf numFmtId="14" fontId="6" fillId="7" borderId="24" xfId="0" applyNumberFormat="1" applyFont="1" applyFill="1" applyBorder="1" applyAlignment="1">
      <alignment horizontal="left"/>
    </xf>
    <xf numFmtId="0" fontId="0" fillId="0" borderId="0" xfId="0" pivotButton="1"/>
    <xf numFmtId="43" fontId="13" fillId="0" borderId="0" xfId="1" applyFont="1"/>
    <xf numFmtId="167" fontId="6" fillId="0" borderId="0" xfId="1" applyNumberFormat="1" applyFont="1"/>
    <xf numFmtId="40" fontId="7" fillId="10" borderId="13" xfId="1" applyNumberFormat="1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 wrapText="1"/>
    </xf>
    <xf numFmtId="14" fontId="6" fillId="7" borderId="4" xfId="0" applyNumberFormat="1" applyFont="1" applyFill="1" applyBorder="1" applyAlignment="1">
      <alignment horizontal="left"/>
    </xf>
    <xf numFmtId="14" fontId="5" fillId="7" borderId="4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4" borderId="21" xfId="0" applyFont="1" applyFill="1" applyBorder="1" applyAlignment="1">
      <alignment horizontal="center"/>
    </xf>
    <xf numFmtId="9" fontId="6" fillId="0" borderId="19" xfId="3" applyFont="1" applyBorder="1" applyAlignment="1">
      <alignment horizontal="right" indent="1"/>
    </xf>
    <xf numFmtId="9" fontId="6" fillId="0" borderId="9" xfId="3" applyFont="1" applyBorder="1" applyAlignment="1">
      <alignment horizontal="right" indent="1"/>
    </xf>
    <xf numFmtId="9" fontId="6" fillId="0" borderId="10" xfId="3" applyFont="1" applyBorder="1" applyAlignment="1">
      <alignment horizontal="right" indent="1"/>
    </xf>
    <xf numFmtId="0" fontId="5" fillId="4" borderId="15" xfId="0" applyFont="1" applyFill="1" applyBorder="1" applyAlignment="1">
      <alignment horizontal="center"/>
    </xf>
    <xf numFmtId="0" fontId="5" fillId="4" borderId="7" xfId="0" applyFont="1" applyFill="1" applyBorder="1"/>
    <xf numFmtId="0" fontId="5" fillId="4" borderId="29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2" xfId="0" applyBorder="1"/>
    <xf numFmtId="0" fontId="0" fillId="0" borderId="8" xfId="0" applyBorder="1"/>
    <xf numFmtId="0" fontId="6" fillId="0" borderId="16" xfId="0" applyFont="1" applyBorder="1"/>
    <xf numFmtId="0" fontId="5" fillId="4" borderId="13" xfId="0" applyFont="1" applyFill="1" applyBorder="1"/>
    <xf numFmtId="0" fontId="5" fillId="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43" fontId="0" fillId="0" borderId="0" xfId="0" applyNumberFormat="1"/>
    <xf numFmtId="40" fontId="5" fillId="2" borderId="11" xfId="1" applyNumberFormat="1" applyFont="1" applyFill="1" applyBorder="1" applyAlignment="1">
      <alignment horizontal="center" wrapText="1"/>
    </xf>
    <xf numFmtId="40" fontId="5" fillId="2" borderId="13" xfId="1" applyNumberFormat="1" applyFont="1" applyFill="1" applyBorder="1" applyAlignment="1">
      <alignment horizontal="center" wrapText="1"/>
    </xf>
    <xf numFmtId="0" fontId="5" fillId="12" borderId="11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166" fontId="5" fillId="6" borderId="13" xfId="1" applyNumberFormat="1" applyFont="1" applyFill="1" applyBorder="1" applyAlignment="1">
      <alignment horizontal="center"/>
    </xf>
    <xf numFmtId="0" fontId="6" fillId="0" borderId="31" xfId="0" applyFont="1" applyBorder="1"/>
    <xf numFmtId="0" fontId="5" fillId="12" borderId="12" xfId="0" applyFont="1" applyFill="1" applyBorder="1" applyAlignment="1">
      <alignment horizontal="center"/>
    </xf>
    <xf numFmtId="43" fontId="6" fillId="7" borderId="26" xfId="1" applyFont="1" applyFill="1" applyBorder="1"/>
    <xf numFmtId="43" fontId="6" fillId="7" borderId="2" xfId="1" applyFont="1" applyFill="1" applyBorder="1"/>
    <xf numFmtId="43" fontId="6" fillId="7" borderId="23" xfId="1" applyFont="1" applyFill="1" applyBorder="1"/>
    <xf numFmtId="43" fontId="6" fillId="0" borderId="18" xfId="1" applyFont="1" applyFill="1" applyBorder="1"/>
    <xf numFmtId="43" fontId="5" fillId="0" borderId="0" xfId="1" applyFont="1" applyFill="1"/>
    <xf numFmtId="40" fontId="6" fillId="0" borderId="7" xfId="1" applyNumberFormat="1" applyFont="1" applyFill="1" applyBorder="1"/>
    <xf numFmtId="40" fontId="6" fillId="0" borderId="22" xfId="1" applyNumberFormat="1" applyFont="1" applyFill="1" applyBorder="1"/>
    <xf numFmtId="40" fontId="6" fillId="0" borderId="8" xfId="1" applyNumberFormat="1" applyFont="1" applyFill="1" applyBorder="1"/>
    <xf numFmtId="40" fontId="9" fillId="0" borderId="8" xfId="1" applyNumberFormat="1" applyFont="1" applyFill="1" applyBorder="1"/>
    <xf numFmtId="43" fontId="6" fillId="0" borderId="6" xfId="1" applyFont="1" applyFill="1" applyBorder="1"/>
    <xf numFmtId="40" fontId="6" fillId="7" borderId="29" xfId="1" applyNumberFormat="1" applyFont="1" applyFill="1" applyBorder="1"/>
    <xf numFmtId="40" fontId="6" fillId="7" borderId="1" xfId="1" applyNumberFormat="1" applyFont="1" applyFill="1" applyBorder="1"/>
    <xf numFmtId="40" fontId="6" fillId="7" borderId="30" xfId="1" applyNumberFormat="1" applyFont="1" applyFill="1" applyBorder="1"/>
    <xf numFmtId="165" fontId="5" fillId="4" borderId="19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20" xfId="0" applyFont="1" applyFill="1" applyBorder="1" applyAlignment="1">
      <alignment horizontal="center"/>
    </xf>
    <xf numFmtId="40" fontId="6" fillId="7" borderId="5" xfId="1" applyNumberFormat="1" applyFont="1" applyFill="1" applyBorder="1"/>
    <xf numFmtId="40" fontId="6" fillId="7" borderId="0" xfId="1" applyNumberFormat="1" applyFont="1" applyFill="1" applyBorder="1"/>
    <xf numFmtId="40" fontId="6" fillId="7" borderId="6" xfId="1" applyNumberFormat="1" applyFont="1" applyFill="1" applyBorder="1"/>
    <xf numFmtId="40" fontId="6" fillId="7" borderId="9" xfId="1" applyNumberFormat="1" applyFont="1" applyFill="1" applyBorder="1"/>
    <xf numFmtId="40" fontId="6" fillId="7" borderId="4" xfId="1" applyNumberFormat="1" applyFont="1" applyFill="1" applyBorder="1"/>
    <xf numFmtId="40" fontId="5" fillId="7" borderId="27" xfId="1" applyNumberFormat="1" applyFont="1" applyFill="1" applyBorder="1"/>
    <xf numFmtId="40" fontId="5" fillId="7" borderId="29" xfId="1" applyNumberFormat="1" applyFont="1" applyFill="1" applyBorder="1"/>
    <xf numFmtId="40" fontId="5" fillId="7" borderId="26" xfId="1" applyNumberFormat="1" applyFont="1" applyFill="1" applyBorder="1"/>
    <xf numFmtId="40" fontId="5" fillId="7" borderId="4" xfId="1" applyNumberFormat="1" applyFont="1" applyFill="1" applyBorder="1"/>
    <xf numFmtId="40" fontId="8" fillId="7" borderId="27" xfId="1" applyNumberFormat="1" applyFont="1" applyFill="1" applyBorder="1"/>
    <xf numFmtId="40" fontId="6" fillId="7" borderId="36" xfId="1" applyNumberFormat="1" applyFont="1" applyFill="1" applyBorder="1"/>
    <xf numFmtId="40" fontId="6" fillId="7" borderId="28" xfId="1" applyNumberFormat="1" applyFont="1" applyFill="1" applyBorder="1"/>
    <xf numFmtId="40" fontId="10" fillId="7" borderId="6" xfId="1" applyNumberFormat="1" applyFont="1" applyFill="1" applyBorder="1"/>
    <xf numFmtId="40" fontId="6" fillId="7" borderId="0" xfId="1" applyNumberFormat="1" applyFont="1" applyFill="1"/>
    <xf numFmtId="40" fontId="10" fillId="7" borderId="30" xfId="1" applyNumberFormat="1" applyFont="1" applyFill="1" applyBorder="1"/>
    <xf numFmtId="40" fontId="5" fillId="0" borderId="26" xfId="1" applyNumberFormat="1" applyFont="1" applyFill="1" applyBorder="1" applyAlignment="1">
      <alignment horizontal="center"/>
    </xf>
    <xf numFmtId="40" fontId="5" fillId="0" borderId="1" xfId="1" applyNumberFormat="1" applyFont="1" applyFill="1" applyBorder="1" applyAlignment="1">
      <alignment horizontal="center"/>
    </xf>
    <xf numFmtId="43" fontId="15" fillId="0" borderId="0" xfId="1" applyFont="1"/>
    <xf numFmtId="14" fontId="6" fillId="0" borderId="4" xfId="0" applyNumberFormat="1" applyFont="1" applyBorder="1" applyAlignment="1">
      <alignment horizontal="left"/>
    </xf>
    <xf numFmtId="14" fontId="5" fillId="0" borderId="4" xfId="0" applyNumberFormat="1" applyFont="1" applyBorder="1" applyAlignment="1">
      <alignment horizontal="left"/>
    </xf>
    <xf numFmtId="43" fontId="6" fillId="0" borderId="26" xfId="1" applyFont="1" applyFill="1" applyBorder="1"/>
    <xf numFmtId="40" fontId="5" fillId="0" borderId="4" xfId="1" applyNumberFormat="1" applyFont="1" applyFill="1" applyBorder="1"/>
    <xf numFmtId="40" fontId="5" fillId="0" borderId="26" xfId="1" applyNumberFormat="1" applyFont="1" applyFill="1" applyBorder="1"/>
    <xf numFmtId="40" fontId="5" fillId="0" borderId="27" xfId="1" applyNumberFormat="1" applyFont="1" applyFill="1" applyBorder="1"/>
    <xf numFmtId="40" fontId="5" fillId="0" borderId="29" xfId="1" applyNumberFormat="1" applyFont="1" applyFill="1" applyBorder="1"/>
    <xf numFmtId="40" fontId="8" fillId="0" borderId="27" xfId="1" applyNumberFormat="1" applyFont="1" applyFill="1" applyBorder="1"/>
    <xf numFmtId="14" fontId="6" fillId="0" borderId="24" xfId="0" applyNumberFormat="1" applyFont="1" applyBorder="1" applyAlignment="1">
      <alignment horizontal="left"/>
    </xf>
    <xf numFmtId="14" fontId="6" fillId="0" borderId="16" xfId="0" applyNumberFormat="1" applyFont="1" applyBorder="1" applyAlignment="1">
      <alignment horizontal="left"/>
    </xf>
    <xf numFmtId="43" fontId="6" fillId="0" borderId="2" xfId="1" applyFont="1" applyFill="1" applyBorder="1"/>
    <xf numFmtId="40" fontId="6" fillId="0" borderId="5" xfId="1" applyNumberFormat="1" applyFont="1" applyFill="1" applyBorder="1"/>
    <xf numFmtId="40" fontId="6" fillId="0" borderId="0" xfId="1" applyNumberFormat="1" applyFont="1" applyFill="1" applyBorder="1"/>
    <xf numFmtId="40" fontId="6" fillId="0" borderId="36" xfId="1" applyNumberFormat="1" applyFont="1" applyFill="1" applyBorder="1"/>
    <xf numFmtId="40" fontId="6" fillId="0" borderId="28" xfId="1" applyNumberFormat="1" applyFont="1" applyFill="1" applyBorder="1"/>
    <xf numFmtId="40" fontId="6" fillId="0" borderId="9" xfId="1" applyNumberFormat="1" applyFont="1" applyFill="1" applyBorder="1"/>
    <xf numFmtId="14" fontId="6" fillId="0" borderId="0" xfId="0" applyNumberFormat="1" applyFont="1" applyAlignment="1">
      <alignment horizontal="left"/>
    </xf>
    <xf numFmtId="40" fontId="6" fillId="0" borderId="6" xfId="1" applyNumberFormat="1" applyFont="1" applyFill="1" applyBorder="1"/>
    <xf numFmtId="40" fontId="10" fillId="0" borderId="6" xfId="1" applyNumberFormat="1" applyFont="1" applyFill="1" applyBorder="1"/>
    <xf numFmtId="40" fontId="6" fillId="0" borderId="0" xfId="1" applyNumberFormat="1" applyFont="1" applyFill="1"/>
    <xf numFmtId="40" fontId="5" fillId="0" borderId="26" xfId="1" applyNumberFormat="1" applyFont="1" applyFill="1" applyBorder="1" applyAlignment="1">
      <alignment horizontal="right"/>
    </xf>
    <xf numFmtId="40" fontId="5" fillId="0" borderId="1" xfId="1" applyNumberFormat="1" applyFont="1" applyFill="1" applyBorder="1" applyAlignment="1">
      <alignment horizontal="right"/>
    </xf>
    <xf numFmtId="14" fontId="6" fillId="0" borderId="5" xfId="0" applyNumberFormat="1" applyFont="1" applyBorder="1" applyAlignment="1">
      <alignment horizontal="left"/>
    </xf>
    <xf numFmtId="43" fontId="6" fillId="0" borderId="23" xfId="1" applyFont="1" applyFill="1" applyBorder="1"/>
    <xf numFmtId="40" fontId="6" fillId="0" borderId="29" xfId="1" applyNumberFormat="1" applyFont="1" applyFill="1" applyBorder="1"/>
    <xf numFmtId="40" fontId="6" fillId="0" borderId="1" xfId="1" applyNumberFormat="1" applyFont="1" applyFill="1" applyBorder="1"/>
    <xf numFmtId="40" fontId="6" fillId="0" borderId="30" xfId="1" applyNumberFormat="1" applyFont="1" applyFill="1" applyBorder="1"/>
    <xf numFmtId="40" fontId="6" fillId="9" borderId="0" xfId="1" applyNumberFormat="1" applyFont="1" applyFill="1" applyAlignment="1">
      <alignment horizontal="right"/>
    </xf>
    <xf numFmtId="40" fontId="5" fillId="9" borderId="0" xfId="1" applyNumberFormat="1" applyFont="1" applyFill="1" applyAlignment="1">
      <alignment horizontal="right"/>
    </xf>
    <xf numFmtId="40" fontId="10" fillId="0" borderId="30" xfId="1" applyNumberFormat="1" applyFont="1" applyFill="1" applyBorder="1"/>
    <xf numFmtId="40" fontId="5" fillId="10" borderId="19" xfId="1" applyNumberFormat="1" applyFont="1" applyFill="1" applyBorder="1" applyAlignment="1">
      <alignment horizontal="center" wrapText="1"/>
    </xf>
    <xf numFmtId="40" fontId="5" fillId="0" borderId="37" xfId="1" applyNumberFormat="1" applyFont="1" applyFill="1" applyBorder="1" applyAlignment="1">
      <alignment horizontal="right"/>
    </xf>
    <xf numFmtId="40" fontId="10" fillId="0" borderId="9" xfId="1" applyNumberFormat="1" applyFont="1" applyFill="1" applyBorder="1"/>
    <xf numFmtId="40" fontId="5" fillId="0" borderId="23" xfId="1" applyNumberFormat="1" applyFont="1" applyFill="1" applyBorder="1" applyAlignment="1">
      <alignment horizontal="right"/>
    </xf>
    <xf numFmtId="43" fontId="6" fillId="0" borderId="0" xfId="1" applyFont="1" applyFill="1" applyBorder="1" applyAlignment="1">
      <alignment horizontal="left"/>
    </xf>
    <xf numFmtId="43" fontId="6" fillId="0" borderId="2" xfId="1" applyFont="1" applyFill="1" applyBorder="1" applyAlignment="1">
      <alignment horizontal="left"/>
    </xf>
    <xf numFmtId="43" fontId="6" fillId="0" borderId="18" xfId="1" applyFont="1" applyFill="1" applyBorder="1" applyAlignment="1">
      <alignment horizontal="left"/>
    </xf>
    <xf numFmtId="43" fontId="6" fillId="0" borderId="23" xfId="1" applyFont="1" applyFill="1" applyBorder="1" applyAlignment="1">
      <alignment horizontal="left"/>
    </xf>
    <xf numFmtId="0" fontId="6" fillId="7" borderId="17" xfId="0" applyFont="1" applyFill="1" applyBorder="1"/>
    <xf numFmtId="40" fontId="6" fillId="7" borderId="7" xfId="1" applyNumberFormat="1" applyFont="1" applyFill="1" applyBorder="1"/>
    <xf numFmtId="40" fontId="6" fillId="7" borderId="8" xfId="1" applyNumberFormat="1" applyFont="1" applyFill="1" applyBorder="1"/>
    <xf numFmtId="40" fontId="6" fillId="7" borderId="22" xfId="1" applyNumberFormat="1" applyFont="1" applyFill="1" applyBorder="1"/>
    <xf numFmtId="43" fontId="6" fillId="0" borderId="27" xfId="1" applyFont="1" applyFill="1" applyBorder="1"/>
    <xf numFmtId="43" fontId="6" fillId="7" borderId="6" xfId="1" applyFont="1" applyFill="1" applyBorder="1"/>
    <xf numFmtId="43" fontId="6" fillId="7" borderId="30" xfId="1" applyFont="1" applyFill="1" applyBorder="1"/>
    <xf numFmtId="43" fontId="6" fillId="7" borderId="8" xfId="1" applyFont="1" applyFill="1" applyBorder="1"/>
    <xf numFmtId="40" fontId="10" fillId="7" borderId="9" xfId="1" applyNumberFormat="1" applyFont="1" applyFill="1" applyBorder="1"/>
    <xf numFmtId="40" fontId="10" fillId="7" borderId="35" xfId="1" applyNumberFormat="1" applyFont="1" applyFill="1" applyBorder="1"/>
    <xf numFmtId="40" fontId="9" fillId="7" borderId="10" xfId="1" applyNumberFormat="1" applyFont="1" applyFill="1" applyBorder="1"/>
    <xf numFmtId="40" fontId="6" fillId="0" borderId="5" xfId="1" applyNumberFormat="1" applyFont="1" applyBorder="1"/>
    <xf numFmtId="40" fontId="6" fillId="0" borderId="7" xfId="1" applyNumberFormat="1" applyFont="1" applyBorder="1"/>
    <xf numFmtId="40" fontId="6" fillId="0" borderId="22" xfId="1" applyNumberFormat="1" applyFont="1" applyBorder="1"/>
    <xf numFmtId="40" fontId="6" fillId="0" borderId="8" xfId="1" applyNumberFormat="1" applyFont="1" applyBorder="1"/>
    <xf numFmtId="40" fontId="6" fillId="0" borderId="32" xfId="1" applyNumberFormat="1" applyFont="1" applyBorder="1"/>
    <xf numFmtId="40" fontId="6" fillId="0" borderId="33" xfId="1" applyNumberFormat="1" applyFont="1" applyBorder="1"/>
    <xf numFmtId="40" fontId="6" fillId="0" borderId="34" xfId="1" applyNumberFormat="1" applyFont="1" applyBorder="1"/>
    <xf numFmtId="40" fontId="6" fillId="0" borderId="11" xfId="1" applyNumberFormat="1" applyFont="1" applyBorder="1"/>
    <xf numFmtId="40" fontId="6" fillId="0" borderId="12" xfId="1" applyNumberFormat="1" applyFont="1" applyBorder="1"/>
    <xf numFmtId="40" fontId="6" fillId="0" borderId="13" xfId="1" applyNumberFormat="1" applyFont="1" applyBorder="1"/>
    <xf numFmtId="166" fontId="6" fillId="0" borderId="20" xfId="1" applyNumberFormat="1" applyFont="1" applyBorder="1"/>
    <xf numFmtId="166" fontId="6" fillId="0" borderId="21" xfId="1" applyNumberFormat="1" applyFont="1" applyBorder="1"/>
    <xf numFmtId="166" fontId="6" fillId="0" borderId="15" xfId="1" applyNumberFormat="1" applyFont="1" applyBorder="1"/>
    <xf numFmtId="166" fontId="6" fillId="0" borderId="21" xfId="1" applyNumberFormat="1" applyFont="1" applyFill="1" applyBorder="1"/>
    <xf numFmtId="166" fontId="6" fillId="0" borderId="15" xfId="1" applyNumberFormat="1" applyFont="1" applyFill="1" applyBorder="1"/>
    <xf numFmtId="166" fontId="6" fillId="0" borderId="5" xfId="1" applyNumberFormat="1" applyFont="1" applyBorder="1"/>
    <xf numFmtId="166" fontId="6" fillId="0" borderId="0" xfId="1" applyNumberFormat="1" applyFont="1" applyBorder="1"/>
    <xf numFmtId="166" fontId="6" fillId="0" borderId="6" xfId="1" applyNumberFormat="1" applyFont="1" applyBorder="1"/>
    <xf numFmtId="166" fontId="6" fillId="0" borderId="0" xfId="1" applyNumberFormat="1" applyFont="1" applyFill="1" applyBorder="1"/>
    <xf numFmtId="166" fontId="6" fillId="0" borderId="6" xfId="1" applyNumberFormat="1" applyFont="1" applyFill="1" applyBorder="1"/>
    <xf numFmtId="166" fontId="6" fillId="0" borderId="7" xfId="1" applyNumberFormat="1" applyFont="1" applyBorder="1"/>
    <xf numFmtId="166" fontId="6" fillId="0" borderId="22" xfId="1" applyNumberFormat="1" applyFont="1" applyBorder="1"/>
    <xf numFmtId="166" fontId="6" fillId="0" borderId="8" xfId="1" applyNumberFormat="1" applyFont="1" applyBorder="1"/>
    <xf numFmtId="166" fontId="6" fillId="0" borderId="32" xfId="1" applyNumberFormat="1" applyFont="1" applyBorder="1"/>
    <xf numFmtId="166" fontId="6" fillId="0" borderId="33" xfId="1" applyNumberFormat="1" applyFont="1" applyBorder="1"/>
    <xf numFmtId="166" fontId="6" fillId="0" borderId="34" xfId="1" applyNumberFormat="1" applyFont="1" applyBorder="1"/>
    <xf numFmtId="166" fontId="6" fillId="0" borderId="11" xfId="1" applyNumberFormat="1" applyFont="1" applyBorder="1"/>
    <xf numFmtId="166" fontId="6" fillId="0" borderId="12" xfId="1" applyNumberFormat="1" applyFont="1" applyBorder="1"/>
    <xf numFmtId="166" fontId="6" fillId="0" borderId="13" xfId="1" applyNumberFormat="1" applyFont="1" applyBorder="1"/>
    <xf numFmtId="166" fontId="6" fillId="0" borderId="0" xfId="1" applyNumberFormat="1" applyFont="1"/>
    <xf numFmtId="166" fontId="6" fillId="0" borderId="32" xfId="0" applyNumberFormat="1" applyFont="1" applyBorder="1"/>
    <xf numFmtId="166" fontId="6" fillId="0" borderId="33" xfId="0" applyNumberFormat="1" applyFont="1" applyBorder="1"/>
    <xf numFmtId="166" fontId="6" fillId="0" borderId="34" xfId="0" applyNumberFormat="1" applyFont="1" applyBorder="1"/>
    <xf numFmtId="166" fontId="5" fillId="0" borderId="20" xfId="0" applyNumberFormat="1" applyFont="1" applyBorder="1" applyAlignment="1">
      <alignment horizontal="center"/>
    </xf>
    <xf numFmtId="166" fontId="5" fillId="0" borderId="21" xfId="0" applyNumberFormat="1" applyFont="1" applyBorder="1" applyAlignment="1">
      <alignment horizontal="center"/>
    </xf>
    <xf numFmtId="166" fontId="5" fillId="0" borderId="15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0" borderId="12" xfId="0" applyNumberFormat="1" applyFont="1" applyBorder="1" applyAlignment="1">
      <alignment horizontal="center"/>
    </xf>
    <xf numFmtId="166" fontId="5" fillId="0" borderId="13" xfId="0" applyNumberFormat="1" applyFont="1" applyBorder="1" applyAlignment="1">
      <alignment horizontal="center"/>
    </xf>
    <xf numFmtId="166" fontId="6" fillId="0" borderId="11" xfId="0" applyNumberFormat="1" applyFont="1" applyBorder="1"/>
    <xf numFmtId="166" fontId="6" fillId="0" borderId="12" xfId="0" applyNumberFormat="1" applyFont="1" applyBorder="1"/>
    <xf numFmtId="166" fontId="6" fillId="0" borderId="13" xfId="0" applyNumberFormat="1" applyFont="1" applyBorder="1"/>
    <xf numFmtId="40" fontId="6" fillId="0" borderId="20" xfId="1" applyNumberFormat="1" applyFont="1" applyBorder="1"/>
    <xf numFmtId="40" fontId="5" fillId="0" borderId="11" xfId="1" applyNumberFormat="1" applyFont="1" applyBorder="1"/>
    <xf numFmtId="40" fontId="5" fillId="0" borderId="12" xfId="1" applyNumberFormat="1" applyFont="1" applyBorder="1"/>
    <xf numFmtId="40" fontId="5" fillId="0" borderId="13" xfId="1" applyNumberFormat="1" applyFont="1" applyBorder="1"/>
    <xf numFmtId="166" fontId="5" fillId="0" borderId="11" xfId="0" applyNumberFormat="1" applyFont="1" applyBorder="1"/>
    <xf numFmtId="166" fontId="5" fillId="0" borderId="12" xfId="0" applyNumberFormat="1" applyFont="1" applyBorder="1"/>
    <xf numFmtId="166" fontId="5" fillId="0" borderId="13" xfId="0" applyNumberFormat="1" applyFont="1" applyBorder="1"/>
    <xf numFmtId="0" fontId="5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5" fillId="0" borderId="17" xfId="0" applyFont="1" applyBorder="1"/>
    <xf numFmtId="43" fontId="5" fillId="9" borderId="0" xfId="1" applyFont="1" applyFill="1" applyAlignment="1">
      <alignment horizontal="right"/>
    </xf>
    <xf numFmtId="40" fontId="8" fillId="9" borderId="0" xfId="1" applyNumberFormat="1" applyFont="1" applyFill="1" applyAlignment="1">
      <alignment horizontal="right"/>
    </xf>
    <xf numFmtId="40" fontId="10" fillId="0" borderId="0" xfId="1" applyNumberFormat="1" applyFont="1" applyAlignment="1">
      <alignment horizontal="right"/>
    </xf>
    <xf numFmtId="40" fontId="10" fillId="9" borderId="0" xfId="1" applyNumberFormat="1" applyFont="1" applyFill="1" applyAlignment="1">
      <alignment horizontal="right"/>
    </xf>
    <xf numFmtId="14" fontId="6" fillId="0" borderId="44" xfId="0" applyNumberFormat="1" applyFont="1" applyBorder="1" applyAlignment="1">
      <alignment horizontal="left"/>
    </xf>
    <xf numFmtId="14" fontId="6" fillId="0" borderId="45" xfId="0" applyNumberFormat="1" applyFont="1" applyBorder="1" applyAlignment="1">
      <alignment horizontal="left"/>
    </xf>
    <xf numFmtId="14" fontId="6" fillId="0" borderId="46" xfId="0" applyNumberFormat="1" applyFont="1" applyBorder="1" applyAlignment="1">
      <alignment horizontal="left"/>
    </xf>
    <xf numFmtId="14" fontId="6" fillId="0" borderId="47" xfId="0" applyNumberFormat="1" applyFont="1" applyBorder="1" applyAlignment="1">
      <alignment horizontal="left"/>
    </xf>
    <xf numFmtId="14" fontId="5" fillId="0" borderId="26" xfId="0" applyNumberFormat="1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6" fillId="0" borderId="18" xfId="0" applyFont="1" applyBorder="1"/>
    <xf numFmtId="9" fontId="6" fillId="0" borderId="48" xfId="3" applyFont="1" applyBorder="1"/>
    <xf numFmtId="9" fontId="6" fillId="0" borderId="45" xfId="3" applyFont="1" applyBorder="1"/>
    <xf numFmtId="9" fontId="6" fillId="0" borderId="47" xfId="3" applyFont="1" applyBorder="1"/>
    <xf numFmtId="0" fontId="6" fillId="0" borderId="49" xfId="0" applyFont="1" applyBorder="1"/>
    <xf numFmtId="0" fontId="17" fillId="0" borderId="0" xfId="0" applyFont="1"/>
    <xf numFmtId="0" fontId="18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43" fontId="6" fillId="0" borderId="52" xfId="1" applyFont="1" applyFill="1" applyBorder="1"/>
    <xf numFmtId="40" fontId="5" fillId="0" borderId="26" xfId="1" applyNumberFormat="1" applyFont="1" applyFill="1" applyBorder="1" applyAlignment="1"/>
    <xf numFmtId="40" fontId="5" fillId="0" borderId="1" xfId="1" applyNumberFormat="1" applyFont="1" applyFill="1" applyBorder="1" applyAlignment="1"/>
    <xf numFmtId="43" fontId="6" fillId="0" borderId="52" xfId="1" applyFont="1" applyBorder="1"/>
    <xf numFmtId="43" fontId="6" fillId="0" borderId="0" xfId="1" applyFont="1" applyFill="1"/>
    <xf numFmtId="43" fontId="6" fillId="0" borderId="1" xfId="1" applyFont="1" applyBorder="1"/>
    <xf numFmtId="40" fontId="5" fillId="0" borderId="0" xfId="1" applyNumberFormat="1" applyFont="1"/>
    <xf numFmtId="164" fontId="6" fillId="0" borderId="6" xfId="1" applyNumberFormat="1" applyFont="1" applyBorder="1"/>
    <xf numFmtId="43" fontId="6" fillId="0" borderId="22" xfId="1" applyFont="1" applyBorder="1"/>
    <xf numFmtId="40" fontId="5" fillId="0" borderId="26" xfId="1" applyNumberFormat="1" applyFont="1" applyBorder="1" applyAlignment="1">
      <alignment horizontal="right"/>
    </xf>
    <xf numFmtId="40" fontId="5" fillId="0" borderId="1" xfId="1" applyNumberFormat="1" applyFont="1" applyBorder="1" applyAlignment="1">
      <alignment horizontal="right"/>
    </xf>
    <xf numFmtId="43" fontId="6" fillId="4" borderId="0" xfId="1" applyFont="1" applyFill="1" applyBorder="1" applyAlignment="1">
      <alignment horizontal="right"/>
    </xf>
    <xf numFmtId="168" fontId="6" fillId="4" borderId="0" xfId="3" applyNumberFormat="1" applyFont="1" applyFill="1" applyBorder="1" applyAlignment="1">
      <alignment horizontal="right"/>
    </xf>
    <xf numFmtId="168" fontId="6" fillId="4" borderId="6" xfId="3" applyNumberFormat="1" applyFont="1" applyFill="1" applyBorder="1" applyAlignment="1">
      <alignment horizontal="right"/>
    </xf>
    <xf numFmtId="43" fontId="6" fillId="4" borderId="1" xfId="0" applyNumberFormat="1" applyFont="1" applyFill="1" applyBorder="1" applyAlignment="1">
      <alignment horizontal="right"/>
    </xf>
    <xf numFmtId="43" fontId="6" fillId="4" borderId="1" xfId="1" applyFont="1" applyFill="1" applyBorder="1" applyAlignment="1">
      <alignment horizontal="right"/>
    </xf>
    <xf numFmtId="168" fontId="6" fillId="4" borderId="1" xfId="3" applyNumberFormat="1" applyFont="1" applyFill="1" applyBorder="1" applyAlignment="1">
      <alignment horizontal="right"/>
    </xf>
    <xf numFmtId="168" fontId="6" fillId="4" borderId="30" xfId="3" applyNumberFormat="1" applyFont="1" applyFill="1" applyBorder="1" applyAlignment="1">
      <alignment horizontal="right"/>
    </xf>
    <xf numFmtId="43" fontId="6" fillId="4" borderId="22" xfId="1" applyFont="1" applyFill="1" applyBorder="1" applyAlignment="1">
      <alignment horizontal="right"/>
    </xf>
    <xf numFmtId="168" fontId="6" fillId="4" borderId="22" xfId="3" applyNumberFormat="1" applyFont="1" applyFill="1" applyBorder="1" applyAlignment="1">
      <alignment horizontal="right"/>
    </xf>
    <xf numFmtId="168" fontId="6" fillId="11" borderId="8" xfId="3" applyNumberFormat="1" applyFont="1" applyFill="1" applyBorder="1" applyAlignment="1">
      <alignment horizontal="right"/>
    </xf>
    <xf numFmtId="40" fontId="5" fillId="0" borderId="0" xfId="1" applyNumberFormat="1" applyFont="1" applyFill="1" applyAlignment="1">
      <alignment horizontal="right"/>
    </xf>
    <xf numFmtId="0" fontId="20" fillId="0" borderId="0" xfId="0" applyFont="1"/>
    <xf numFmtId="170" fontId="19" fillId="0" borderId="0" xfId="0" applyNumberFormat="1" applyFont="1" applyAlignment="1">
      <alignment horizontal="right"/>
    </xf>
    <xf numFmtId="40" fontId="10" fillId="0" borderId="45" xfId="1" applyNumberFormat="1" applyFont="1" applyFill="1" applyBorder="1"/>
    <xf numFmtId="40" fontId="7" fillId="10" borderId="15" xfId="1" applyNumberFormat="1" applyFont="1" applyFill="1" applyBorder="1" applyAlignment="1">
      <alignment horizontal="center"/>
    </xf>
    <xf numFmtId="40" fontId="5" fillId="6" borderId="57" xfId="1" applyNumberFormat="1" applyFont="1" applyFill="1" applyBorder="1" applyAlignment="1">
      <alignment horizontal="center"/>
    </xf>
    <xf numFmtId="40" fontId="6" fillId="0" borderId="59" xfId="1" applyNumberFormat="1" applyFont="1" applyFill="1" applyBorder="1"/>
    <xf numFmtId="40" fontId="6" fillId="0" borderId="52" xfId="1" applyNumberFormat="1" applyFont="1" applyFill="1" applyBorder="1"/>
    <xf numFmtId="40" fontId="6" fillId="0" borderId="60" xfId="1" applyNumberFormat="1" applyFont="1" applyFill="1" applyBorder="1"/>
    <xf numFmtId="40" fontId="6" fillId="0" borderId="61" xfId="1" applyNumberFormat="1" applyFont="1" applyFill="1" applyBorder="1"/>
    <xf numFmtId="14" fontId="6" fillId="0" borderId="65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56" xfId="0" applyBorder="1"/>
    <xf numFmtId="40" fontId="5" fillId="0" borderId="58" xfId="1" applyNumberFormat="1" applyFont="1" applyBorder="1"/>
    <xf numFmtId="0" fontId="0" fillId="0" borderId="59" xfId="0" applyBorder="1"/>
    <xf numFmtId="40" fontId="5" fillId="0" borderId="52" xfId="1" applyNumberFormat="1" applyFont="1" applyBorder="1"/>
    <xf numFmtId="0" fontId="6" fillId="0" borderId="59" xfId="0" applyFont="1" applyBorder="1"/>
    <xf numFmtId="0" fontId="6" fillId="13" borderId="59" xfId="0" applyFont="1" applyFill="1" applyBorder="1"/>
    <xf numFmtId="0" fontId="6" fillId="13" borderId="52" xfId="0" applyFont="1" applyFill="1" applyBorder="1"/>
    <xf numFmtId="0" fontId="0" fillId="0" borderId="62" xfId="0" applyBorder="1"/>
    <xf numFmtId="14" fontId="6" fillId="0" borderId="45" xfId="0" applyNumberFormat="1" applyFont="1" applyFill="1" applyBorder="1" applyAlignment="1">
      <alignment horizontal="left"/>
    </xf>
    <xf numFmtId="0" fontId="6" fillId="0" borderId="2" xfId="0" applyFont="1" applyFill="1" applyBorder="1"/>
    <xf numFmtId="0" fontId="6" fillId="0" borderId="0" xfId="0" applyFont="1" applyFill="1"/>
    <xf numFmtId="0" fontId="6" fillId="0" borderId="5" xfId="0" applyFont="1" applyFill="1" applyBorder="1"/>
    <xf numFmtId="0" fontId="6" fillId="0" borderId="6" xfId="0" applyFont="1" applyFill="1" applyBorder="1"/>
    <xf numFmtId="40" fontId="6" fillId="0" borderId="5" xfId="0" applyNumberFormat="1" applyFont="1" applyFill="1" applyBorder="1"/>
    <xf numFmtId="0" fontId="5" fillId="0" borderId="5" xfId="0" applyFont="1" applyFill="1" applyBorder="1" applyAlignment="1">
      <alignment horizontal="left"/>
    </xf>
    <xf numFmtId="43" fontId="5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0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40" fontId="6" fillId="0" borderId="0" xfId="0" applyNumberFormat="1" applyFont="1" applyAlignment="1">
      <alignment horizontal="right"/>
    </xf>
    <xf numFmtId="43" fontId="6" fillId="0" borderId="0" xfId="1" applyFont="1" applyAlignment="1">
      <alignment horizontal="right"/>
    </xf>
    <xf numFmtId="43" fontId="6" fillId="4" borderId="5" xfId="0" applyNumberFormat="1" applyFont="1" applyFill="1" applyBorder="1" applyAlignment="1">
      <alignment horizontal="right"/>
    </xf>
    <xf numFmtId="43" fontId="6" fillId="4" borderId="0" xfId="0" applyNumberFormat="1" applyFont="1" applyFill="1" applyAlignment="1">
      <alignment horizontal="right"/>
    </xf>
    <xf numFmtId="43" fontId="6" fillId="4" borderId="6" xfId="0" applyNumberFormat="1" applyFont="1" applyFill="1" applyBorder="1" applyAlignment="1">
      <alignment horizontal="right"/>
    </xf>
    <xf numFmtId="43" fontId="6" fillId="4" borderId="15" xfId="0" applyNumberFormat="1" applyFont="1" applyFill="1" applyBorder="1" applyAlignment="1">
      <alignment horizontal="right"/>
    </xf>
    <xf numFmtId="43" fontId="6" fillId="4" borderId="5" xfId="1" applyFont="1" applyFill="1" applyBorder="1" applyAlignment="1">
      <alignment horizontal="right"/>
    </xf>
    <xf numFmtId="43" fontId="6" fillId="4" borderId="9" xfId="0" applyNumberFormat="1" applyFont="1" applyFill="1" applyBorder="1" applyAlignment="1">
      <alignment horizontal="right"/>
    </xf>
    <xf numFmtId="43" fontId="6" fillId="4" borderId="2" xfId="1" applyFont="1" applyFill="1" applyBorder="1" applyAlignment="1">
      <alignment horizontal="right"/>
    </xf>
    <xf numFmtId="43" fontId="6" fillId="4" borderId="6" xfId="1" applyFont="1" applyFill="1" applyBorder="1" applyAlignment="1">
      <alignment horizontal="right"/>
    </xf>
    <xf numFmtId="43" fontId="6" fillId="4" borderId="7" xfId="1" applyFont="1" applyFill="1" applyBorder="1" applyAlignment="1">
      <alignment horizontal="right"/>
    </xf>
    <xf numFmtId="43" fontId="6" fillId="4" borderId="7" xfId="0" applyNumberFormat="1" applyFont="1" applyFill="1" applyBorder="1" applyAlignment="1">
      <alignment horizontal="right"/>
    </xf>
    <xf numFmtId="43" fontId="6" fillId="4" borderId="22" xfId="0" applyNumberFormat="1" applyFont="1" applyFill="1" applyBorder="1" applyAlignment="1">
      <alignment horizontal="right"/>
    </xf>
    <xf numFmtId="43" fontId="6" fillId="4" borderId="8" xfId="0" applyNumberFormat="1" applyFont="1" applyFill="1" applyBorder="1" applyAlignment="1">
      <alignment horizontal="right"/>
    </xf>
    <xf numFmtId="43" fontId="6" fillId="4" borderId="10" xfId="0" applyNumberFormat="1" applyFont="1" applyFill="1" applyBorder="1" applyAlignment="1">
      <alignment horizontal="right"/>
    </xf>
    <xf numFmtId="43" fontId="6" fillId="4" borderId="18" xfId="1" applyFont="1" applyFill="1" applyBorder="1" applyAlignment="1">
      <alignment horizontal="right"/>
    </xf>
    <xf numFmtId="43" fontId="6" fillId="4" borderId="8" xfId="1" applyFont="1" applyFill="1" applyBorder="1" applyAlignment="1">
      <alignment horizontal="right"/>
    </xf>
    <xf numFmtId="14" fontId="6" fillId="0" borderId="2" xfId="0" applyNumberFormat="1" applyFont="1" applyFill="1" applyBorder="1" applyAlignment="1">
      <alignment horizontal="left"/>
    </xf>
    <xf numFmtId="0" fontId="0" fillId="0" borderId="5" xfId="0" applyFill="1" applyBorder="1"/>
    <xf numFmtId="0" fontId="0" fillId="0" borderId="0" xfId="0" applyFill="1"/>
    <xf numFmtId="0" fontId="0" fillId="0" borderId="6" xfId="0" applyFill="1" applyBorder="1"/>
    <xf numFmtId="43" fontId="6" fillId="4" borderId="50" xfId="1" applyFont="1" applyFill="1" applyBorder="1" applyAlignment="1">
      <alignment horizontal="right"/>
    </xf>
    <xf numFmtId="40" fontId="6" fillId="4" borderId="50" xfId="0" applyNumberFormat="1" applyFont="1" applyFill="1" applyBorder="1" applyAlignment="1">
      <alignment horizontal="right"/>
    </xf>
    <xf numFmtId="43" fontId="6" fillId="4" borderId="50" xfId="0" applyNumberFormat="1" applyFont="1" applyFill="1" applyBorder="1" applyAlignment="1">
      <alignment horizontal="right"/>
    </xf>
    <xf numFmtId="43" fontId="6" fillId="4" borderId="51" xfId="0" applyNumberFormat="1" applyFont="1" applyFill="1" applyBorder="1" applyAlignment="1">
      <alignment horizontal="right"/>
    </xf>
    <xf numFmtId="40" fontId="6" fillId="0" borderId="0" xfId="1" applyNumberFormat="1" applyFont="1" applyFill="1" applyBorder="1" applyAlignment="1">
      <alignment horizontal="right"/>
    </xf>
    <xf numFmtId="40" fontId="6" fillId="0" borderId="5" xfId="1" applyNumberFormat="1" applyFont="1" applyFill="1" applyBorder="1" applyAlignment="1">
      <alignment horizontal="right"/>
    </xf>
    <xf numFmtId="40" fontId="6" fillId="0" borderId="6" xfId="1" applyNumberFormat="1" applyFont="1" applyFill="1" applyBorder="1" applyAlignment="1">
      <alignment horizontal="right"/>
    </xf>
    <xf numFmtId="40" fontId="10" fillId="0" borderId="6" xfId="1" applyNumberFormat="1" applyFont="1" applyFill="1" applyBorder="1" applyAlignment="1">
      <alignment horizontal="right"/>
    </xf>
    <xf numFmtId="40" fontId="6" fillId="0" borderId="29" xfId="1" applyNumberFormat="1" applyFont="1" applyFill="1" applyBorder="1" applyAlignment="1">
      <alignment horizontal="right"/>
    </xf>
    <xf numFmtId="40" fontId="6" fillId="0" borderId="30" xfId="1" applyNumberFormat="1" applyFont="1" applyFill="1" applyBorder="1" applyAlignment="1">
      <alignment horizontal="right"/>
    </xf>
    <xf numFmtId="40" fontId="6" fillId="0" borderId="1" xfId="1" applyNumberFormat="1" applyFont="1" applyFill="1" applyBorder="1" applyAlignment="1">
      <alignment horizontal="right"/>
    </xf>
    <xf numFmtId="14" fontId="5" fillId="0" borderId="66" xfId="0" applyNumberFormat="1" applyFont="1" applyBorder="1" applyAlignment="1">
      <alignment horizontal="left"/>
    </xf>
    <xf numFmtId="43" fontId="6" fillId="0" borderId="67" xfId="1" applyFont="1" applyFill="1" applyBorder="1"/>
    <xf numFmtId="43" fontId="6" fillId="0" borderId="61" xfId="1" applyFont="1" applyFill="1" applyBorder="1"/>
    <xf numFmtId="0" fontId="6" fillId="0" borderId="68" xfId="0" applyFont="1" applyBorder="1"/>
    <xf numFmtId="43" fontId="6" fillId="0" borderId="64" xfId="1" applyFont="1" applyFill="1" applyBorder="1"/>
    <xf numFmtId="43" fontId="6" fillId="0" borderId="69" xfId="1" applyFont="1" applyFill="1" applyBorder="1"/>
    <xf numFmtId="0" fontId="5" fillId="0" borderId="5" xfId="0" applyFont="1" applyFill="1" applyBorder="1"/>
    <xf numFmtId="40" fontId="6" fillId="0" borderId="62" xfId="1" applyNumberFormat="1" applyFont="1" applyFill="1" applyBorder="1"/>
    <xf numFmtId="40" fontId="6" fillId="0" borderId="63" xfId="1" applyNumberFormat="1" applyFont="1" applyFill="1" applyBorder="1"/>
    <xf numFmtId="14" fontId="5" fillId="0" borderId="70" xfId="0" applyNumberFormat="1" applyFont="1" applyBorder="1" applyAlignment="1">
      <alignment horizontal="left"/>
    </xf>
    <xf numFmtId="0" fontId="6" fillId="0" borderId="23" xfId="0" applyFont="1" applyFill="1" applyBorder="1"/>
    <xf numFmtId="40" fontId="5" fillId="0" borderId="70" xfId="1" applyNumberFormat="1" applyFont="1" applyFill="1" applyBorder="1" applyAlignment="1">
      <alignment horizontal="right"/>
    </xf>
    <xf numFmtId="40" fontId="5" fillId="0" borderId="71" xfId="1" applyNumberFormat="1" applyFont="1" applyFill="1" applyBorder="1" applyAlignment="1">
      <alignment horizontal="right"/>
    </xf>
    <xf numFmtId="40" fontId="5" fillId="0" borderId="72" xfId="1" applyNumberFormat="1" applyFont="1" applyFill="1" applyBorder="1" applyAlignment="1">
      <alignment horizontal="right"/>
    </xf>
    <xf numFmtId="40" fontId="5" fillId="0" borderId="73" xfId="1" applyNumberFormat="1" applyFont="1" applyFill="1" applyBorder="1" applyAlignment="1">
      <alignment horizontal="right"/>
    </xf>
    <xf numFmtId="40" fontId="10" fillId="0" borderId="76" xfId="1" applyNumberFormat="1" applyFont="1" applyFill="1" applyBorder="1" applyAlignment="1">
      <alignment horizontal="right"/>
    </xf>
    <xf numFmtId="40" fontId="6" fillId="0" borderId="76" xfId="1" applyNumberFormat="1" applyFont="1" applyFill="1" applyBorder="1" applyAlignment="1">
      <alignment horizontal="right"/>
    </xf>
    <xf numFmtId="40" fontId="10" fillId="0" borderId="77" xfId="1" applyNumberFormat="1" applyFont="1" applyFill="1" applyBorder="1" applyAlignment="1">
      <alignment horizontal="right"/>
    </xf>
    <xf numFmtId="40" fontId="6" fillId="0" borderId="63" xfId="1" applyNumberFormat="1" applyFont="1" applyFill="1" applyBorder="1" applyAlignment="1">
      <alignment horizontal="right"/>
    </xf>
    <xf numFmtId="40" fontId="6" fillId="0" borderId="78" xfId="1" applyNumberFormat="1" applyFont="1" applyFill="1" applyBorder="1" applyAlignment="1">
      <alignment horizontal="right"/>
    </xf>
    <xf numFmtId="40" fontId="6" fillId="0" borderId="79" xfId="1" applyNumberFormat="1" applyFont="1" applyFill="1" applyBorder="1" applyAlignment="1">
      <alignment horizontal="right"/>
    </xf>
    <xf numFmtId="40" fontId="9" fillId="0" borderId="80" xfId="1" applyNumberFormat="1" applyFont="1" applyFill="1" applyBorder="1" applyAlignment="1">
      <alignment horizontal="right"/>
    </xf>
    <xf numFmtId="0" fontId="5" fillId="12" borderId="20" xfId="0" applyFont="1" applyFill="1" applyBorder="1" applyAlignment="1">
      <alignment horizontal="center"/>
    </xf>
    <xf numFmtId="0" fontId="5" fillId="12" borderId="15" xfId="0" applyFont="1" applyFill="1" applyBorder="1" applyAlignment="1">
      <alignment horizontal="center"/>
    </xf>
    <xf numFmtId="40" fontId="5" fillId="2" borderId="20" xfId="1" applyNumberFormat="1" applyFont="1" applyFill="1" applyBorder="1" applyAlignment="1">
      <alignment horizontal="center" wrapText="1"/>
    </xf>
    <xf numFmtId="40" fontId="5" fillId="2" borderId="15" xfId="1" applyNumberFormat="1" applyFont="1" applyFill="1" applyBorder="1" applyAlignment="1">
      <alignment horizontal="center" wrapText="1"/>
    </xf>
    <xf numFmtId="0" fontId="6" fillId="0" borderId="28" xfId="0" applyFont="1" applyFill="1" applyBorder="1"/>
    <xf numFmtId="43" fontId="6" fillId="0" borderId="0" xfId="1" applyFont="1" applyFill="1" applyBorder="1" applyAlignment="1">
      <alignment horizontal="right"/>
    </xf>
    <xf numFmtId="40" fontId="5" fillId="0" borderId="4" xfId="1" applyNumberFormat="1" applyFont="1" applyFill="1" applyBorder="1" applyAlignment="1">
      <alignment horizontal="right"/>
    </xf>
    <xf numFmtId="40" fontId="5" fillId="0" borderId="27" xfId="1" applyNumberFormat="1" applyFont="1" applyFill="1" applyBorder="1" applyAlignment="1">
      <alignment horizontal="right"/>
    </xf>
    <xf numFmtId="40" fontId="6" fillId="0" borderId="59" xfId="1" applyNumberFormat="1" applyFont="1" applyFill="1" applyBorder="1" applyAlignment="1">
      <alignment horizontal="right"/>
    </xf>
    <xf numFmtId="40" fontId="6" fillId="0" borderId="52" xfId="1" applyNumberFormat="1" applyFont="1" applyFill="1" applyBorder="1" applyAlignment="1">
      <alignment horizontal="right"/>
    </xf>
    <xf numFmtId="40" fontId="5" fillId="0" borderId="25" xfId="1" applyNumberFormat="1" applyFont="1" applyFill="1" applyBorder="1" applyAlignment="1">
      <alignment horizontal="right"/>
    </xf>
    <xf numFmtId="40" fontId="5" fillId="0" borderId="29" xfId="1" applyNumberFormat="1" applyFont="1" applyFill="1" applyBorder="1" applyAlignment="1">
      <alignment horizontal="right"/>
    </xf>
    <xf numFmtId="40" fontId="5" fillId="0" borderId="30" xfId="1" applyNumberFormat="1" applyFont="1" applyFill="1" applyBorder="1" applyAlignment="1">
      <alignment horizontal="right"/>
    </xf>
    <xf numFmtId="0" fontId="5" fillId="0" borderId="0" xfId="0" applyFont="1" applyAlignment="1"/>
    <xf numFmtId="40" fontId="5" fillId="0" borderId="63" xfId="1" applyNumberFormat="1" applyFont="1" applyFill="1" applyBorder="1" applyAlignment="1">
      <alignment horizontal="right"/>
    </xf>
    <xf numFmtId="40" fontId="5" fillId="0" borderId="64" xfId="1" applyNumberFormat="1" applyFont="1" applyFill="1" applyBorder="1" applyAlignment="1">
      <alignment horizontal="right"/>
    </xf>
    <xf numFmtId="14" fontId="6" fillId="0" borderId="84" xfId="0" applyNumberFormat="1" applyFont="1" applyBorder="1" applyAlignment="1">
      <alignment horizontal="left"/>
    </xf>
    <xf numFmtId="0" fontId="6" fillId="0" borderId="89" xfId="0" applyFont="1" applyBorder="1"/>
    <xf numFmtId="0" fontId="5" fillId="12" borderId="94" xfId="0" applyFont="1" applyFill="1" applyBorder="1" applyAlignment="1">
      <alignment horizontal="center"/>
    </xf>
    <xf numFmtId="0" fontId="5" fillId="12" borderId="66" xfId="0" applyFont="1" applyFill="1" applyBorder="1" applyAlignment="1">
      <alignment horizontal="center"/>
    </xf>
    <xf numFmtId="40" fontId="5" fillId="2" borderId="95" xfId="1" applyNumberFormat="1" applyFont="1" applyFill="1" applyBorder="1" applyAlignment="1">
      <alignment horizontal="center" wrapText="1"/>
    </xf>
    <xf numFmtId="40" fontId="5" fillId="2" borderId="96" xfId="1" applyNumberFormat="1" applyFont="1" applyFill="1" applyBorder="1" applyAlignment="1">
      <alignment horizontal="center" wrapText="1"/>
    </xf>
    <xf numFmtId="40" fontId="5" fillId="6" borderId="66" xfId="1" applyNumberFormat="1" applyFont="1" applyFill="1" applyBorder="1" applyAlignment="1">
      <alignment horizontal="center"/>
    </xf>
    <xf numFmtId="40" fontId="5" fillId="5" borderId="66" xfId="1" applyNumberFormat="1" applyFont="1" applyFill="1" applyBorder="1" applyAlignment="1">
      <alignment horizontal="center"/>
    </xf>
    <xf numFmtId="0" fontId="5" fillId="5" borderId="67" xfId="0" applyFont="1" applyFill="1" applyBorder="1" applyAlignment="1">
      <alignment horizontal="center"/>
    </xf>
    <xf numFmtId="40" fontId="5" fillId="10" borderId="67" xfId="1" applyNumberFormat="1" applyFont="1" applyFill="1" applyBorder="1" applyAlignment="1">
      <alignment horizontal="center" wrapText="1"/>
    </xf>
    <xf numFmtId="40" fontId="5" fillId="5" borderId="94" xfId="1" applyNumberFormat="1" applyFont="1" applyFill="1" applyBorder="1" applyAlignment="1">
      <alignment horizontal="center"/>
    </xf>
    <xf numFmtId="171" fontId="0" fillId="0" borderId="0" xfId="0" applyNumberFormat="1"/>
    <xf numFmtId="40" fontId="5" fillId="0" borderId="0" xfId="1" applyNumberFormat="1" applyFont="1" applyFill="1" applyAlignment="1"/>
    <xf numFmtId="44" fontId="0" fillId="0" borderId="0" xfId="0" applyNumberFormat="1"/>
    <xf numFmtId="44" fontId="14" fillId="0" borderId="0" xfId="0" applyNumberFormat="1" applyFont="1"/>
    <xf numFmtId="14" fontId="6" fillId="7" borderId="45" xfId="0" applyNumberFormat="1" applyFont="1" applyFill="1" applyBorder="1" applyAlignment="1">
      <alignment horizontal="left"/>
    </xf>
    <xf numFmtId="14" fontId="6" fillId="7" borderId="2" xfId="0" applyNumberFormat="1" applyFont="1" applyFill="1" applyBorder="1" applyAlignment="1">
      <alignment horizontal="left"/>
    </xf>
    <xf numFmtId="0" fontId="6" fillId="7" borderId="2" xfId="0" applyFont="1" applyFill="1" applyBorder="1"/>
    <xf numFmtId="0" fontId="6" fillId="0" borderId="7" xfId="0" applyFont="1" applyFill="1" applyBorder="1"/>
    <xf numFmtId="0" fontId="6" fillId="0" borderId="22" xfId="0" applyFont="1" applyFill="1" applyBorder="1"/>
    <xf numFmtId="0" fontId="6" fillId="0" borderId="8" xfId="0" applyFont="1" applyFill="1" applyBorder="1"/>
    <xf numFmtId="0" fontId="0" fillId="0" borderId="7" xfId="0" applyFill="1" applyBorder="1"/>
    <xf numFmtId="0" fontId="0" fillId="0" borderId="22" xfId="0" applyFill="1" applyBorder="1"/>
    <xf numFmtId="0" fontId="0" fillId="0" borderId="8" xfId="0" applyFill="1" applyBorder="1"/>
    <xf numFmtId="0" fontId="5" fillId="0" borderId="62" xfId="0" applyFont="1" applyFill="1" applyBorder="1"/>
    <xf numFmtId="0" fontId="5" fillId="0" borderId="63" xfId="0" applyFont="1" applyFill="1" applyBorder="1"/>
    <xf numFmtId="43" fontId="5" fillId="0" borderId="63" xfId="1" applyFont="1" applyFill="1" applyBorder="1"/>
    <xf numFmtId="0" fontId="5" fillId="0" borderId="25" xfId="0" applyFont="1" applyFill="1" applyBorder="1"/>
    <xf numFmtId="43" fontId="5" fillId="0" borderId="1" xfId="0" applyNumberFormat="1" applyFont="1" applyFill="1" applyBorder="1"/>
    <xf numFmtId="43" fontId="5" fillId="0" borderId="23" xfId="0" applyNumberFormat="1" applyFont="1" applyFill="1" applyBorder="1"/>
    <xf numFmtId="0" fontId="6" fillId="0" borderId="1" xfId="0" applyFont="1" applyFill="1" applyBorder="1"/>
    <xf numFmtId="40" fontId="6" fillId="0" borderId="1" xfId="0" applyNumberFormat="1" applyFont="1" applyFill="1" applyBorder="1"/>
    <xf numFmtId="0" fontId="0" fillId="0" borderId="0" xfId="0" applyAlignment="1">
      <alignment horizontal="right"/>
    </xf>
    <xf numFmtId="44" fontId="14" fillId="0" borderId="0" xfId="0" applyNumberFormat="1" applyFont="1" applyAlignment="1">
      <alignment horizontal="right"/>
    </xf>
    <xf numFmtId="40" fontId="6" fillId="0" borderId="0" xfId="1" applyNumberFormat="1" applyFont="1" applyAlignment="1">
      <alignment horizontal="right"/>
    </xf>
    <xf numFmtId="40" fontId="5" fillId="0" borderId="87" xfId="1" applyNumberFormat="1" applyFont="1" applyFill="1" applyBorder="1" applyAlignment="1">
      <alignment horizontal="right"/>
    </xf>
    <xf numFmtId="40" fontId="5" fillId="0" borderId="88" xfId="1" applyNumberFormat="1" applyFont="1" applyFill="1" applyBorder="1" applyAlignment="1">
      <alignment horizontal="right"/>
    </xf>
    <xf numFmtId="43" fontId="6" fillId="0" borderId="89" xfId="1" applyFont="1" applyFill="1" applyBorder="1"/>
    <xf numFmtId="40" fontId="6" fillId="0" borderId="91" xfId="1" applyNumberFormat="1" applyFont="1" applyFill="1" applyBorder="1"/>
    <xf numFmtId="40" fontId="6" fillId="0" borderId="92" xfId="1" applyNumberFormat="1" applyFont="1" applyFill="1" applyBorder="1"/>
    <xf numFmtId="40" fontId="6" fillId="0" borderId="90" xfId="1" applyNumberFormat="1" applyFont="1" applyFill="1" applyBorder="1"/>
    <xf numFmtId="40" fontId="9" fillId="0" borderId="93" xfId="1" applyNumberFormat="1" applyFont="1" applyFill="1" applyBorder="1"/>
    <xf numFmtId="0" fontId="5" fillId="0" borderId="62" xfId="0" applyFont="1" applyBorder="1"/>
    <xf numFmtId="0" fontId="5" fillId="0" borderId="63" xfId="0" applyFont="1" applyBorder="1"/>
    <xf numFmtId="0" fontId="14" fillId="0" borderId="0" xfId="0" applyFont="1" applyAlignmen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0" fontId="5" fillId="0" borderId="52" xfId="0" applyNumberFormat="1" applyFont="1" applyBorder="1"/>
    <xf numFmtId="40" fontId="5" fillId="0" borderId="64" xfId="0" applyNumberFormat="1" applyFont="1" applyBorder="1"/>
    <xf numFmtId="40" fontId="5" fillId="0" borderId="0" xfId="1" applyNumberFormat="1" applyFont="1" applyFill="1" applyAlignment="1">
      <alignment horizontal="center"/>
    </xf>
    <xf numFmtId="43" fontId="6" fillId="4" borderId="49" xfId="1" applyFont="1" applyFill="1" applyBorder="1" applyAlignment="1">
      <alignment horizontal="right"/>
    </xf>
    <xf numFmtId="40" fontId="6" fillId="4" borderId="50" xfId="1" applyNumberFormat="1" applyFont="1" applyFill="1" applyBorder="1" applyAlignment="1">
      <alignment horizontal="right"/>
    </xf>
    <xf numFmtId="40" fontId="10" fillId="4" borderId="50" xfId="1" applyNumberFormat="1" applyFont="1" applyFill="1" applyBorder="1" applyAlignment="1">
      <alignment horizontal="right"/>
    </xf>
    <xf numFmtId="40" fontId="10" fillId="4" borderId="51" xfId="1" applyNumberFormat="1" applyFont="1" applyFill="1" applyBorder="1" applyAlignment="1">
      <alignment horizontal="right"/>
    </xf>
    <xf numFmtId="14" fontId="6" fillId="7" borderId="97" xfId="0" applyNumberFormat="1" applyFont="1" applyFill="1" applyBorder="1" applyAlignment="1">
      <alignment horizontal="left"/>
    </xf>
    <xf numFmtId="0" fontId="6" fillId="7" borderId="98" xfId="0" applyFont="1" applyFill="1" applyBorder="1"/>
    <xf numFmtId="43" fontId="6" fillId="7" borderId="99" xfId="1" applyFont="1" applyFill="1" applyBorder="1"/>
    <xf numFmtId="40" fontId="6" fillId="7" borderId="55" xfId="1" applyNumberFormat="1" applyFont="1" applyFill="1" applyBorder="1" applyAlignment="1">
      <alignment horizontal="right"/>
    </xf>
    <xf numFmtId="40" fontId="6" fillId="7" borderId="100" xfId="1" applyNumberFormat="1" applyFont="1" applyFill="1" applyBorder="1" applyAlignment="1">
      <alignment horizontal="right"/>
    </xf>
    <xf numFmtId="40" fontId="6" fillId="7" borderId="54" xfId="1" applyNumberFormat="1" applyFont="1" applyFill="1" applyBorder="1" applyAlignment="1">
      <alignment horizontal="right"/>
    </xf>
    <xf numFmtId="40" fontId="6" fillId="7" borderId="55" xfId="1" applyNumberFormat="1" applyFont="1" applyFill="1" applyBorder="1"/>
    <xf numFmtId="40" fontId="6" fillId="7" borderId="100" xfId="1" applyNumberFormat="1" applyFont="1" applyFill="1" applyBorder="1"/>
    <xf numFmtId="40" fontId="6" fillId="7" borderId="54" xfId="1" applyNumberFormat="1" applyFont="1" applyFill="1" applyBorder="1"/>
    <xf numFmtId="40" fontId="10" fillId="7" borderId="100" xfId="1" applyNumberFormat="1" applyFont="1" applyFill="1" applyBorder="1"/>
    <xf numFmtId="43" fontId="6" fillId="7" borderId="0" xfId="1" applyFont="1" applyFill="1" applyBorder="1"/>
    <xf numFmtId="10" fontId="6" fillId="4" borderId="51" xfId="0" applyNumberFormat="1" applyFont="1" applyFill="1" applyBorder="1" applyAlignment="1">
      <alignment horizontal="right"/>
    </xf>
    <xf numFmtId="43" fontId="6" fillId="7" borderId="0" xfId="1" applyFont="1" applyFill="1"/>
    <xf numFmtId="17" fontId="6" fillId="4" borderId="101" xfId="0" applyNumberFormat="1" applyFont="1" applyFill="1" applyBorder="1"/>
    <xf numFmtId="0" fontId="6" fillId="0" borderId="19" xfId="0" applyFont="1" applyFill="1" applyBorder="1"/>
    <xf numFmtId="40" fontId="6" fillId="0" borderId="21" xfId="1" applyNumberFormat="1" applyFont="1" applyFill="1" applyBorder="1"/>
    <xf numFmtId="40" fontId="6" fillId="0" borderId="15" xfId="1" applyNumberFormat="1" applyFont="1" applyFill="1" applyBorder="1"/>
    <xf numFmtId="0" fontId="6" fillId="0" borderId="9" xfId="0" applyFont="1" applyFill="1" applyBorder="1"/>
    <xf numFmtId="40" fontId="6" fillId="0" borderId="9" xfId="0" applyNumberFormat="1" applyFont="1" applyFill="1" applyBorder="1"/>
    <xf numFmtId="0" fontId="5" fillId="0" borderId="7" xfId="0" applyFont="1" applyFill="1" applyBorder="1"/>
    <xf numFmtId="40" fontId="6" fillId="0" borderId="32" xfId="1" applyNumberFormat="1" applyFont="1" applyFill="1" applyBorder="1"/>
    <xf numFmtId="40" fontId="6" fillId="0" borderId="33" xfId="1" applyNumberFormat="1" applyFont="1" applyFill="1" applyBorder="1"/>
    <xf numFmtId="40" fontId="6" fillId="0" borderId="34" xfId="1" applyNumberFormat="1" applyFont="1" applyFill="1" applyBorder="1"/>
    <xf numFmtId="40" fontId="6" fillId="0" borderId="11" xfId="1" applyNumberFormat="1" applyFont="1" applyFill="1" applyBorder="1"/>
    <xf numFmtId="40" fontId="6" fillId="0" borderId="12" xfId="1" applyNumberFormat="1" applyFont="1" applyFill="1" applyBorder="1"/>
    <xf numFmtId="40" fontId="6" fillId="0" borderId="13" xfId="1" applyNumberFormat="1" applyFont="1" applyFill="1" applyBorder="1"/>
    <xf numFmtId="0" fontId="5" fillId="0" borderId="0" xfId="0" applyFont="1" applyFill="1" applyAlignment="1">
      <alignment horizontal="center"/>
    </xf>
    <xf numFmtId="9" fontId="6" fillId="0" borderId="48" xfId="3" applyFont="1" applyFill="1" applyBorder="1"/>
    <xf numFmtId="9" fontId="6" fillId="0" borderId="45" xfId="3" applyFont="1" applyFill="1" applyBorder="1"/>
    <xf numFmtId="9" fontId="6" fillId="0" borderId="47" xfId="3" applyFont="1" applyFill="1" applyBorder="1"/>
    <xf numFmtId="17" fontId="0" fillId="4" borderId="102" xfId="0" applyNumberFormat="1" applyFill="1" applyBorder="1"/>
    <xf numFmtId="17" fontId="0" fillId="4" borderId="103" xfId="0" applyNumberFormat="1" applyFill="1" applyBorder="1"/>
    <xf numFmtId="17" fontId="6" fillId="4" borderId="103" xfId="0" applyNumberFormat="1" applyFont="1" applyFill="1" applyBorder="1"/>
    <xf numFmtId="10" fontId="6" fillId="14" borderId="53" xfId="0" applyNumberFormat="1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165" fontId="5" fillId="4" borderId="9" xfId="1" applyNumberFormat="1" applyFont="1" applyFill="1" applyBorder="1" applyAlignment="1">
      <alignment horizontal="center"/>
    </xf>
    <xf numFmtId="165" fontId="5" fillId="4" borderId="76" xfId="1" applyNumberFormat="1" applyFont="1" applyFill="1" applyBorder="1" applyAlignment="1">
      <alignment horizontal="center"/>
    </xf>
    <xf numFmtId="165" fontId="5" fillId="4" borderId="76" xfId="1" applyNumberFormat="1" applyFont="1" applyFill="1" applyBorder="1" applyAlignment="1">
      <alignment horizontal="center" wrapText="1"/>
    </xf>
    <xf numFmtId="165" fontId="5" fillId="4" borderId="5" xfId="1" applyNumberFormat="1" applyFont="1" applyFill="1" applyBorder="1" applyAlignment="1">
      <alignment horizontal="center" wrapText="1"/>
    </xf>
    <xf numFmtId="170" fontId="20" fillId="0" borderId="0" xfId="0" applyNumberFormat="1" applyFont="1" applyAlignment="1">
      <alignment horizontal="right"/>
    </xf>
    <xf numFmtId="0" fontId="19" fillId="0" borderId="56" xfId="0" applyFont="1" applyBorder="1" applyAlignment="1">
      <alignment horizontal="center"/>
    </xf>
    <xf numFmtId="0" fontId="0" fillId="15" borderId="57" xfId="0" applyFill="1" applyBorder="1"/>
    <xf numFmtId="0" fontId="0" fillId="15" borderId="0" xfId="0" applyFill="1"/>
    <xf numFmtId="14" fontId="20" fillId="0" borderId="59" xfId="0" applyNumberFormat="1" applyFont="1" applyBorder="1"/>
    <xf numFmtId="170" fontId="20" fillId="0" borderId="52" xfId="0" applyNumberFormat="1" applyFont="1" applyBorder="1" applyAlignment="1">
      <alignment horizontal="right"/>
    </xf>
    <xf numFmtId="0" fontId="20" fillId="0" borderId="59" xfId="0" applyFont="1" applyBorder="1"/>
    <xf numFmtId="0" fontId="0" fillId="0" borderId="52" xfId="0" applyBorder="1"/>
    <xf numFmtId="0" fontId="20" fillId="0" borderId="62" xfId="0" applyFont="1" applyBorder="1"/>
    <xf numFmtId="0" fontId="19" fillId="0" borderId="63" xfId="0" applyFont="1" applyBorder="1"/>
    <xf numFmtId="170" fontId="19" fillId="7" borderId="63" xfId="0" applyNumberFormat="1" applyFont="1" applyFill="1" applyBorder="1" applyAlignment="1">
      <alignment horizontal="right"/>
    </xf>
    <xf numFmtId="0" fontId="0" fillId="15" borderId="63" xfId="0" applyFill="1" applyBorder="1"/>
    <xf numFmtId="170" fontId="19" fillId="7" borderId="64" xfId="0" applyNumberFormat="1" applyFont="1" applyFill="1" applyBorder="1" applyAlignment="1">
      <alignment horizontal="right"/>
    </xf>
    <xf numFmtId="0" fontId="20" fillId="15" borderId="57" xfId="0" applyFont="1" applyFill="1" applyBorder="1"/>
    <xf numFmtId="0" fontId="20" fillId="15" borderId="58" xfId="0" applyFont="1" applyFill="1" applyBorder="1"/>
    <xf numFmtId="0" fontId="19" fillId="0" borderId="104" xfId="0" applyFont="1" applyBorder="1" applyAlignment="1">
      <alignment horizontal="center"/>
    </xf>
    <xf numFmtId="0" fontId="19" fillId="0" borderId="55" xfId="0" applyFont="1" applyBorder="1"/>
    <xf numFmtId="0" fontId="0" fillId="15" borderId="55" xfId="0" applyFill="1" applyBorder="1"/>
    <xf numFmtId="0" fontId="19" fillId="0" borderId="99" xfId="0" applyFont="1" applyBorder="1"/>
    <xf numFmtId="40" fontId="10" fillId="0" borderId="0" xfId="1" applyNumberFormat="1" applyFont="1" applyFill="1" applyAlignment="1">
      <alignment horizontal="right"/>
    </xf>
    <xf numFmtId="40" fontId="21" fillId="0" borderId="0" xfId="1" applyNumberFormat="1" applyFont="1" applyAlignment="1">
      <alignment horizontal="right"/>
    </xf>
    <xf numFmtId="40" fontId="22" fillId="0" borderId="0" xfId="1" applyNumberFormat="1" applyFont="1" applyAlignment="1">
      <alignment horizontal="right"/>
    </xf>
    <xf numFmtId="44" fontId="23" fillId="0" borderId="0" xfId="1" applyNumberFormat="1" applyFont="1" applyAlignment="1">
      <alignment horizontal="right"/>
    </xf>
    <xf numFmtId="44" fontId="22" fillId="0" borderId="0" xfId="1" applyNumberFormat="1" applyFont="1" applyAlignment="1">
      <alignment horizontal="right"/>
    </xf>
    <xf numFmtId="167" fontId="24" fillId="0" borderId="0" xfId="1" applyNumberFormat="1" applyFont="1" applyAlignment="1"/>
    <xf numFmtId="40" fontId="22" fillId="0" borderId="0" xfId="1" applyNumberFormat="1" applyFont="1" applyAlignment="1"/>
    <xf numFmtId="40" fontId="6" fillId="0" borderId="0" xfId="1" applyNumberFormat="1" applyFont="1" applyAlignment="1"/>
    <xf numFmtId="0" fontId="14" fillId="0" borderId="0" xfId="0" applyFont="1"/>
    <xf numFmtId="0" fontId="6" fillId="0" borderId="20" xfId="0" applyFont="1" applyFill="1" applyBorder="1"/>
    <xf numFmtId="40" fontId="6" fillId="0" borderId="20" xfId="1" applyNumberFormat="1" applyFont="1" applyFill="1" applyBorder="1"/>
    <xf numFmtId="40" fontId="5" fillId="0" borderId="11" xfId="1" applyNumberFormat="1" applyFont="1" applyFill="1" applyBorder="1"/>
    <xf numFmtId="40" fontId="5" fillId="0" borderId="12" xfId="1" applyNumberFormat="1" applyFont="1" applyFill="1" applyBorder="1"/>
    <xf numFmtId="40" fontId="5" fillId="0" borderId="13" xfId="1" applyNumberFormat="1" applyFont="1" applyFill="1" applyBorder="1"/>
    <xf numFmtId="40" fontId="5" fillId="2" borderId="105" xfId="1" applyNumberFormat="1" applyFont="1" applyFill="1" applyBorder="1" applyAlignment="1">
      <alignment horizontal="center" wrapText="1"/>
    </xf>
    <xf numFmtId="40" fontId="5" fillId="2" borderId="86" xfId="1" applyNumberFormat="1" applyFont="1" applyFill="1" applyBorder="1" applyAlignment="1">
      <alignment horizontal="center" wrapText="1"/>
    </xf>
    <xf numFmtId="40" fontId="5" fillId="0" borderId="60" xfId="1" applyNumberFormat="1" applyFont="1" applyFill="1" applyBorder="1" applyAlignment="1">
      <alignment horizontal="right"/>
    </xf>
    <xf numFmtId="40" fontId="5" fillId="0" borderId="61" xfId="1" applyNumberFormat="1" applyFont="1" applyFill="1" applyBorder="1" applyAlignment="1">
      <alignment horizontal="right"/>
    </xf>
    <xf numFmtId="40" fontId="6" fillId="0" borderId="106" xfId="1" applyNumberFormat="1" applyFont="1" applyFill="1" applyBorder="1"/>
    <xf numFmtId="40" fontId="6" fillId="0" borderId="107" xfId="1" applyNumberFormat="1" applyFont="1" applyFill="1" applyBorder="1"/>
    <xf numFmtId="40" fontId="5" fillId="5" borderId="56" xfId="1" applyNumberFormat="1" applyFont="1" applyFill="1" applyBorder="1" applyAlignment="1">
      <alignment horizontal="center"/>
    </xf>
    <xf numFmtId="40" fontId="5" fillId="5" borderId="57" xfId="1" applyNumberFormat="1" applyFont="1" applyFill="1" applyBorder="1" applyAlignment="1">
      <alignment horizontal="center"/>
    </xf>
    <xf numFmtId="40" fontId="5" fillId="0" borderId="108" xfId="1" applyNumberFormat="1" applyFont="1" applyFill="1" applyBorder="1" applyAlignment="1">
      <alignment horizontal="right"/>
    </xf>
    <xf numFmtId="40" fontId="7" fillId="10" borderId="48" xfId="1" applyNumberFormat="1" applyFont="1" applyFill="1" applyBorder="1" applyAlignment="1">
      <alignment horizontal="center"/>
    </xf>
    <xf numFmtId="40" fontId="5" fillId="10" borderId="48" xfId="1" applyNumberFormat="1" applyFont="1" applyFill="1" applyBorder="1" applyAlignment="1">
      <alignment horizontal="center" wrapText="1"/>
    </xf>
    <xf numFmtId="40" fontId="5" fillId="0" borderId="109" xfId="1" applyNumberFormat="1" applyFont="1" applyFill="1" applyBorder="1" applyAlignment="1">
      <alignment horizontal="right"/>
    </xf>
    <xf numFmtId="40" fontId="6" fillId="0" borderId="45" xfId="1" applyNumberFormat="1" applyFont="1" applyFill="1" applyBorder="1"/>
    <xf numFmtId="40" fontId="10" fillId="0" borderId="46" xfId="1" applyNumberFormat="1" applyFont="1" applyFill="1" applyBorder="1"/>
    <xf numFmtId="40" fontId="9" fillId="0" borderId="47" xfId="1" applyNumberFormat="1" applyFont="1" applyFill="1" applyBorder="1"/>
    <xf numFmtId="0" fontId="5" fillId="5" borderId="57" xfId="0" applyFont="1" applyFill="1" applyBorder="1" applyAlignment="1">
      <alignment horizontal="center"/>
    </xf>
    <xf numFmtId="40" fontId="10" fillId="0" borderId="0" xfId="1" applyNumberFormat="1" applyFont="1" applyFill="1" applyBorder="1"/>
    <xf numFmtId="43" fontId="6" fillId="0" borderId="50" xfId="1" applyFont="1" applyBorder="1" applyAlignment="1">
      <alignment horizontal="right"/>
    </xf>
    <xf numFmtId="43" fontId="6" fillId="0" borderId="50" xfId="1" applyFont="1" applyFill="1" applyBorder="1" applyAlignment="1">
      <alignment horizontal="right"/>
    </xf>
    <xf numFmtId="43" fontId="6" fillId="0" borderId="53" xfId="1" applyFont="1" applyFill="1" applyBorder="1" applyAlignment="1">
      <alignment horizontal="right"/>
    </xf>
    <xf numFmtId="43" fontId="6" fillId="0" borderId="51" xfId="1" applyFont="1" applyFill="1" applyBorder="1" applyAlignment="1">
      <alignment horizontal="right"/>
    </xf>
    <xf numFmtId="43" fontId="14" fillId="0" borderId="42" xfId="1" applyFont="1" applyBorder="1" applyAlignment="1">
      <alignment horizontal="right"/>
    </xf>
    <xf numFmtId="43" fontId="14" fillId="0" borderId="42" xfId="1" applyFont="1" applyFill="1" applyBorder="1" applyAlignment="1">
      <alignment horizontal="right"/>
    </xf>
    <xf numFmtId="43" fontId="14" fillId="0" borderId="43" xfId="1" applyFont="1" applyBorder="1" applyAlignment="1">
      <alignment horizontal="right"/>
    </xf>
    <xf numFmtId="170" fontId="20" fillId="0" borderId="0" xfId="0" applyNumberFormat="1" applyFont="1" applyFill="1" applyAlignment="1">
      <alignment horizontal="right"/>
    </xf>
    <xf numFmtId="14" fontId="20" fillId="0" borderId="59" xfId="0" applyNumberFormat="1" applyFont="1" applyFill="1" applyBorder="1"/>
    <xf numFmtId="0" fontId="20" fillId="0" borderId="0" xfId="0" applyFont="1" applyFill="1"/>
    <xf numFmtId="0" fontId="20" fillId="0" borderId="0" xfId="0" applyFont="1" applyBorder="1"/>
    <xf numFmtId="0" fontId="0" fillId="0" borderId="0" xfId="0" applyBorder="1"/>
    <xf numFmtId="3" fontId="0" fillId="0" borderId="0" xfId="0" applyNumberFormat="1"/>
    <xf numFmtId="40" fontId="6" fillId="0" borderId="64" xfId="1" applyNumberFormat="1" applyFont="1" applyFill="1" applyBorder="1"/>
    <xf numFmtId="40" fontId="5" fillId="0" borderId="74" xfId="1" applyNumberFormat="1" applyFont="1" applyFill="1" applyBorder="1" applyAlignment="1">
      <alignment horizontal="right"/>
    </xf>
    <xf numFmtId="40" fontId="5" fillId="0" borderId="75" xfId="1" applyNumberFormat="1" applyFont="1" applyFill="1" applyBorder="1" applyAlignment="1">
      <alignment horizontal="right"/>
    </xf>
    <xf numFmtId="40" fontId="6" fillId="0" borderId="36" xfId="1" applyNumberFormat="1" applyFont="1" applyFill="1" applyBorder="1" applyAlignment="1">
      <alignment horizontal="right"/>
    </xf>
    <xf numFmtId="40" fontId="6" fillId="0" borderId="28" xfId="1" applyNumberFormat="1" applyFont="1" applyFill="1" applyBorder="1" applyAlignment="1">
      <alignment horizontal="right"/>
    </xf>
    <xf numFmtId="40" fontId="10" fillId="0" borderId="45" xfId="1" applyNumberFormat="1" applyFont="1" applyFill="1" applyBorder="1" applyAlignment="1">
      <alignment horizontal="right"/>
    </xf>
    <xf numFmtId="40" fontId="6" fillId="0" borderId="0" xfId="0" applyNumberFormat="1" applyFont="1" applyFill="1"/>
    <xf numFmtId="40" fontId="5" fillId="0" borderId="55" xfId="1" applyNumberFormat="1" applyFont="1" applyFill="1" applyBorder="1" applyAlignment="1">
      <alignment horizontal="right"/>
    </xf>
    <xf numFmtId="40" fontId="5" fillId="0" borderId="54" xfId="1" applyNumberFormat="1" applyFont="1" applyFill="1" applyBorder="1" applyAlignment="1">
      <alignment horizontal="right"/>
    </xf>
    <xf numFmtId="40" fontId="5" fillId="0" borderId="100" xfId="1" applyNumberFormat="1" applyFont="1" applyFill="1" applyBorder="1" applyAlignment="1">
      <alignment horizontal="right"/>
    </xf>
    <xf numFmtId="40" fontId="5" fillId="0" borderId="104" xfId="1" applyNumberFormat="1" applyFont="1" applyFill="1" applyBorder="1" applyAlignment="1">
      <alignment horizontal="right"/>
    </xf>
    <xf numFmtId="40" fontId="5" fillId="0" borderId="99" xfId="1" applyNumberFormat="1" applyFont="1" applyFill="1" applyBorder="1" applyAlignment="1">
      <alignment horizontal="right"/>
    </xf>
    <xf numFmtId="167" fontId="24" fillId="0" borderId="0" xfId="1" applyNumberFormat="1" applyFont="1" applyAlignment="1">
      <alignment horizontal="right"/>
    </xf>
    <xf numFmtId="43" fontId="6" fillId="0" borderId="52" xfId="1" applyFont="1" applyFill="1" applyBorder="1" applyAlignment="1"/>
    <xf numFmtId="14" fontId="6" fillId="0" borderId="46" xfId="0" applyNumberFormat="1" applyFont="1" applyFill="1" applyBorder="1" applyAlignment="1">
      <alignment horizontal="left"/>
    </xf>
    <xf numFmtId="40" fontId="8" fillId="0" borderId="44" xfId="1" applyNumberFormat="1" applyFont="1" applyFill="1" applyBorder="1" applyAlignment="1">
      <alignment horizontal="right"/>
    </xf>
    <xf numFmtId="40" fontId="10" fillId="0" borderId="46" xfId="1" applyNumberFormat="1" applyFont="1" applyFill="1" applyBorder="1" applyAlignment="1">
      <alignment horizontal="right"/>
    </xf>
    <xf numFmtId="40" fontId="9" fillId="0" borderId="47" xfId="1" applyNumberFormat="1" applyFont="1" applyFill="1" applyBorder="1" applyAlignment="1">
      <alignment horizontal="right"/>
    </xf>
    <xf numFmtId="40" fontId="10" fillId="0" borderId="0" xfId="1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20" fillId="0" borderId="0" xfId="0" applyFont="1" applyFill="1" applyBorder="1"/>
    <xf numFmtId="170" fontId="20" fillId="0" borderId="52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wrapText="1"/>
    </xf>
    <xf numFmtId="170" fontId="0" fillId="0" borderId="0" xfId="0" applyNumberFormat="1"/>
    <xf numFmtId="43" fontId="6" fillId="4" borderId="110" xfId="1" applyFont="1" applyFill="1" applyBorder="1" applyAlignment="1">
      <alignment horizontal="right"/>
    </xf>
    <xf numFmtId="40" fontId="6" fillId="4" borderId="110" xfId="0" applyNumberFormat="1" applyFont="1" applyFill="1" applyBorder="1" applyAlignment="1">
      <alignment horizontal="right"/>
    </xf>
    <xf numFmtId="43" fontId="6" fillId="4" borderId="110" xfId="0" applyNumberFormat="1" applyFont="1" applyFill="1" applyBorder="1" applyAlignment="1">
      <alignment horizontal="right"/>
    </xf>
    <xf numFmtId="43" fontId="6" fillId="4" borderId="111" xfId="0" applyNumberFormat="1" applyFont="1" applyFill="1" applyBorder="1" applyAlignment="1">
      <alignment horizontal="right"/>
    </xf>
    <xf numFmtId="10" fontId="6" fillId="4" borderId="111" xfId="0" applyNumberFormat="1" applyFont="1" applyFill="1" applyBorder="1" applyAlignment="1">
      <alignment horizontal="right"/>
    </xf>
    <xf numFmtId="10" fontId="6" fillId="14" borderId="112" xfId="0" applyNumberFormat="1" applyFont="1" applyFill="1" applyBorder="1" applyAlignment="1">
      <alignment horizontal="right"/>
    </xf>
    <xf numFmtId="0" fontId="6" fillId="0" borderId="113" xfId="0" applyFont="1" applyBorder="1"/>
    <xf numFmtId="43" fontId="6" fillId="0" borderId="110" xfId="1" applyFont="1" applyBorder="1" applyAlignment="1">
      <alignment horizontal="right"/>
    </xf>
    <xf numFmtId="43" fontId="6" fillId="0" borderId="110" xfId="1" applyFont="1" applyFill="1" applyBorder="1" applyAlignment="1">
      <alignment horizontal="right"/>
    </xf>
    <xf numFmtId="43" fontId="6" fillId="0" borderId="112" xfId="1" applyFont="1" applyFill="1" applyBorder="1" applyAlignment="1">
      <alignment horizontal="right"/>
    </xf>
    <xf numFmtId="43" fontId="6" fillId="0" borderId="111" xfId="1" applyFont="1" applyFill="1" applyBorder="1" applyAlignment="1">
      <alignment horizontal="right"/>
    </xf>
    <xf numFmtId="40" fontId="6" fillId="0" borderId="113" xfId="0" applyNumberFormat="1" applyFont="1" applyBorder="1"/>
    <xf numFmtId="10" fontId="6" fillId="4" borderId="112" xfId="0" applyNumberFormat="1" applyFont="1" applyFill="1" applyBorder="1" applyAlignment="1">
      <alignment horizontal="right"/>
    </xf>
    <xf numFmtId="43" fontId="1" fillId="0" borderId="110" xfId="1" applyFont="1" applyBorder="1" applyAlignment="1">
      <alignment horizontal="right"/>
    </xf>
    <xf numFmtId="0" fontId="6" fillId="0" borderId="114" xfId="0" applyFont="1" applyBorder="1"/>
    <xf numFmtId="43" fontId="0" fillId="0" borderId="115" xfId="1" applyFont="1" applyBorder="1" applyAlignment="1">
      <alignment horizontal="right"/>
    </xf>
    <xf numFmtId="43" fontId="1" fillId="0" borderId="115" xfId="1" applyFont="1" applyBorder="1" applyAlignment="1">
      <alignment horizontal="right"/>
    </xf>
    <xf numFmtId="43" fontId="0" fillId="0" borderId="116" xfId="1" applyFont="1" applyBorder="1" applyAlignment="1">
      <alignment horizontal="right"/>
    </xf>
    <xf numFmtId="43" fontId="6" fillId="0" borderId="117" xfId="1" applyFont="1" applyBorder="1" applyAlignment="1">
      <alignment horizontal="right"/>
    </xf>
    <xf numFmtId="43" fontId="6" fillId="4" borderId="111" xfId="1" applyFont="1" applyFill="1" applyBorder="1" applyAlignment="1">
      <alignment horizontal="right"/>
    </xf>
    <xf numFmtId="10" fontId="6" fillId="4" borderId="111" xfId="1" applyNumberFormat="1" applyFont="1" applyFill="1" applyBorder="1" applyAlignment="1">
      <alignment horizontal="right"/>
    </xf>
    <xf numFmtId="17" fontId="6" fillId="4" borderId="118" xfId="0" applyNumberFormat="1" applyFont="1" applyFill="1" applyBorder="1"/>
    <xf numFmtId="43" fontId="6" fillId="4" borderId="115" xfId="1" applyFont="1" applyFill="1" applyBorder="1" applyAlignment="1">
      <alignment horizontal="right"/>
    </xf>
    <xf numFmtId="43" fontId="6" fillId="4" borderId="117" xfId="1" applyFont="1" applyFill="1" applyBorder="1" applyAlignment="1">
      <alignment horizontal="right"/>
    </xf>
    <xf numFmtId="10" fontId="6" fillId="4" borderId="117" xfId="1" applyNumberFormat="1" applyFont="1" applyFill="1" applyBorder="1" applyAlignment="1">
      <alignment horizontal="right"/>
    </xf>
    <xf numFmtId="17" fontId="6" fillId="4" borderId="119" xfId="0" applyNumberFormat="1" applyFont="1" applyFill="1" applyBorder="1"/>
    <xf numFmtId="43" fontId="6" fillId="4" borderId="113" xfId="1" applyFont="1" applyFill="1" applyBorder="1" applyAlignment="1">
      <alignment horizontal="right"/>
    </xf>
    <xf numFmtId="40" fontId="6" fillId="4" borderId="110" xfId="1" applyNumberFormat="1" applyFont="1" applyFill="1" applyBorder="1" applyAlignment="1">
      <alignment horizontal="right"/>
    </xf>
    <xf numFmtId="40" fontId="10" fillId="4" borderId="110" xfId="1" applyNumberFormat="1" applyFont="1" applyFill="1" applyBorder="1" applyAlignment="1">
      <alignment horizontal="right"/>
    </xf>
    <xf numFmtId="40" fontId="10" fillId="4" borderId="111" xfId="1" applyNumberFormat="1" applyFont="1" applyFill="1" applyBorder="1" applyAlignment="1">
      <alignment horizontal="right"/>
    </xf>
    <xf numFmtId="17" fontId="6" fillId="4" borderId="120" xfId="0" applyNumberFormat="1" applyFont="1" applyFill="1" applyBorder="1"/>
    <xf numFmtId="43" fontId="6" fillId="4" borderId="114" xfId="1" applyFont="1" applyFill="1" applyBorder="1" applyAlignment="1">
      <alignment horizontal="right"/>
    </xf>
    <xf numFmtId="40" fontId="6" fillId="4" borderId="115" xfId="1" applyNumberFormat="1" applyFont="1" applyFill="1" applyBorder="1" applyAlignment="1">
      <alignment horizontal="right"/>
    </xf>
    <xf numFmtId="40" fontId="10" fillId="4" borderId="115" xfId="1" applyNumberFormat="1" applyFont="1" applyFill="1" applyBorder="1" applyAlignment="1">
      <alignment horizontal="right"/>
    </xf>
    <xf numFmtId="40" fontId="10" fillId="4" borderId="117" xfId="1" applyNumberFormat="1" applyFont="1" applyFill="1" applyBorder="1" applyAlignment="1">
      <alignment horizontal="right"/>
    </xf>
    <xf numFmtId="43" fontId="6" fillId="0" borderId="121" xfId="1" applyFont="1" applyFill="1" applyBorder="1"/>
    <xf numFmtId="44" fontId="5" fillId="0" borderId="121" xfId="2" applyFont="1" applyBorder="1"/>
    <xf numFmtId="44" fontId="5" fillId="9" borderId="121" xfId="2" applyFont="1" applyFill="1" applyBorder="1"/>
    <xf numFmtId="43" fontId="6" fillId="0" borderId="121" xfId="1" applyFont="1" applyBorder="1"/>
    <xf numFmtId="44" fontId="5" fillId="0" borderId="121" xfId="2" applyFont="1" applyBorder="1" applyAlignment="1">
      <alignment horizontal="right"/>
    </xf>
    <xf numFmtId="44" fontId="5" fillId="9" borderId="121" xfId="2" applyFont="1" applyFill="1" applyBorder="1" applyAlignment="1">
      <alignment horizontal="right"/>
    </xf>
    <xf numFmtId="43" fontId="6" fillId="0" borderId="121" xfId="1" applyFont="1" applyFill="1" applyBorder="1" applyAlignment="1">
      <alignment horizontal="right"/>
    </xf>
    <xf numFmtId="40" fontId="6" fillId="0" borderId="0" xfId="0" applyNumberFormat="1" applyFont="1" applyFill="1" applyAlignment="1">
      <alignment horizontal="right"/>
    </xf>
    <xf numFmtId="165" fontId="6" fillId="0" borderId="0" xfId="1" applyNumberFormat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40" fontId="10" fillId="7" borderId="0" xfId="1" applyNumberFormat="1" applyFont="1" applyFill="1" applyAlignment="1">
      <alignment horizontal="right"/>
    </xf>
    <xf numFmtId="40" fontId="6" fillId="0" borderId="62" xfId="1" applyNumberFormat="1" applyFont="1" applyFill="1" applyBorder="1" applyAlignment="1">
      <alignment horizontal="right"/>
    </xf>
    <xf numFmtId="40" fontId="6" fillId="0" borderId="64" xfId="1" applyNumberFormat="1" applyFont="1" applyFill="1" applyBorder="1" applyAlignment="1">
      <alignment horizontal="right"/>
    </xf>
    <xf numFmtId="14" fontId="6" fillId="0" borderId="84" xfId="0" applyNumberFormat="1" applyFont="1" applyFill="1" applyBorder="1" applyAlignment="1">
      <alignment horizontal="left"/>
    </xf>
    <xf numFmtId="0" fontId="6" fillId="0" borderId="85" xfId="0" applyFont="1" applyFill="1" applyBorder="1"/>
    <xf numFmtId="43" fontId="6" fillId="0" borderId="81" xfId="1" applyFont="1" applyFill="1" applyBorder="1"/>
    <xf numFmtId="40" fontId="6" fillId="0" borderId="82" xfId="1" applyNumberFormat="1" applyFont="1" applyFill="1" applyBorder="1" applyAlignment="1">
      <alignment horizontal="right"/>
    </xf>
    <xf numFmtId="40" fontId="6" fillId="0" borderId="81" xfId="1" applyNumberFormat="1" applyFont="1" applyFill="1" applyBorder="1" applyAlignment="1">
      <alignment horizontal="right"/>
    </xf>
    <xf numFmtId="40" fontId="6" fillId="0" borderId="83" xfId="1" applyNumberFormat="1" applyFont="1" applyFill="1" applyBorder="1" applyAlignment="1">
      <alignment horizontal="right"/>
    </xf>
    <xf numFmtId="40" fontId="6" fillId="0" borderId="7" xfId="1" applyNumberFormat="1" applyFont="1" applyFill="1" applyBorder="1" applyAlignment="1">
      <alignment horizontal="right"/>
    </xf>
    <xf numFmtId="40" fontId="6" fillId="0" borderId="22" xfId="1" applyNumberFormat="1" applyFont="1" applyFill="1" applyBorder="1" applyAlignment="1">
      <alignment horizontal="right"/>
    </xf>
    <xf numFmtId="40" fontId="6" fillId="0" borderId="8" xfId="1" applyNumberFormat="1" applyFont="1" applyFill="1" applyBorder="1" applyAlignment="1">
      <alignment horizontal="right"/>
    </xf>
    <xf numFmtId="40" fontId="9" fillId="0" borderId="86" xfId="1" applyNumberFormat="1" applyFont="1" applyFill="1" applyBorder="1" applyAlignment="1">
      <alignment horizontal="right"/>
    </xf>
    <xf numFmtId="43" fontId="6" fillId="4" borderId="20" xfId="1" applyFont="1" applyFill="1" applyBorder="1" applyAlignment="1">
      <alignment horizontal="right"/>
    </xf>
    <xf numFmtId="43" fontId="6" fillId="4" borderId="19" xfId="0" applyNumberFormat="1" applyFont="1" applyFill="1" applyBorder="1" applyAlignment="1">
      <alignment horizontal="right"/>
    </xf>
    <xf numFmtId="43" fontId="6" fillId="4" borderId="14" xfId="0" applyNumberFormat="1" applyFont="1" applyFill="1" applyBorder="1" applyAlignment="1">
      <alignment horizontal="right"/>
    </xf>
    <xf numFmtId="40" fontId="5" fillId="0" borderId="122" xfId="1" applyNumberFormat="1" applyFont="1" applyFill="1" applyBorder="1" applyAlignment="1">
      <alignment horizontal="right"/>
    </xf>
    <xf numFmtId="40" fontId="5" fillId="0" borderId="123" xfId="1" applyNumberFormat="1" applyFont="1" applyFill="1" applyBorder="1" applyAlignment="1">
      <alignment horizontal="right"/>
    </xf>
    <xf numFmtId="40" fontId="5" fillId="0" borderId="124" xfId="1" applyNumberFormat="1" applyFont="1" applyFill="1" applyBorder="1" applyAlignment="1">
      <alignment horizontal="right"/>
    </xf>
    <xf numFmtId="40" fontId="5" fillId="0" borderId="125" xfId="1" applyNumberFormat="1" applyFont="1" applyFill="1" applyBorder="1" applyAlignment="1">
      <alignment horizontal="right"/>
    </xf>
    <xf numFmtId="0" fontId="5" fillId="4" borderId="5" xfId="0" applyFont="1" applyFill="1" applyBorder="1" applyAlignment="1">
      <alignment wrapText="1"/>
    </xf>
    <xf numFmtId="168" fontId="6" fillId="11" borderId="6" xfId="3" applyNumberFormat="1" applyFont="1" applyFill="1" applyBorder="1" applyAlignment="1">
      <alignment horizontal="right"/>
    </xf>
    <xf numFmtId="0" fontId="6" fillId="4" borderId="56" xfId="0" applyFont="1" applyFill="1" applyBorder="1" applyAlignment="1">
      <alignment horizontal="center"/>
    </xf>
    <xf numFmtId="0" fontId="5" fillId="4" borderId="59" xfId="0" applyFont="1" applyFill="1" applyBorder="1"/>
    <xf numFmtId="168" fontId="6" fillId="4" borderId="52" xfId="3" applyNumberFormat="1" applyFont="1" applyFill="1" applyBorder="1" applyAlignment="1">
      <alignment horizontal="right"/>
    </xf>
    <xf numFmtId="0" fontId="5" fillId="4" borderId="60" xfId="0" applyFont="1" applyFill="1" applyBorder="1"/>
    <xf numFmtId="168" fontId="6" fillId="4" borderId="61" xfId="3" applyNumberFormat="1" applyFont="1" applyFill="1" applyBorder="1" applyAlignment="1">
      <alignment horizontal="right"/>
    </xf>
    <xf numFmtId="0" fontId="5" fillId="4" borderId="62" xfId="0" applyFont="1" applyFill="1" applyBorder="1"/>
    <xf numFmtId="43" fontId="6" fillId="4" borderId="63" xfId="1" applyFont="1" applyFill="1" applyBorder="1" applyAlignment="1">
      <alignment horizontal="right"/>
    </xf>
    <xf numFmtId="168" fontId="6" fillId="4" borderId="63" xfId="3" applyNumberFormat="1" applyFont="1" applyFill="1" applyBorder="1" applyAlignment="1">
      <alignment horizontal="right"/>
    </xf>
    <xf numFmtId="168" fontId="6" fillId="11" borderId="64" xfId="3" applyNumberFormat="1" applyFont="1" applyFill="1" applyBorder="1" applyAlignment="1">
      <alignment horizontal="right"/>
    </xf>
    <xf numFmtId="0" fontId="5" fillId="4" borderId="21" xfId="0" applyFont="1" applyFill="1" applyBorder="1" applyAlignment="1">
      <alignment horizontal="right"/>
    </xf>
    <xf numFmtId="0" fontId="5" fillId="4" borderId="57" xfId="0" applyFont="1" applyFill="1" applyBorder="1" applyAlignment="1">
      <alignment horizontal="right"/>
    </xf>
    <xf numFmtId="0" fontId="5" fillId="4" borderId="21" xfId="0" applyFont="1" applyFill="1" applyBorder="1" applyAlignment="1">
      <alignment horizontal="right" wrapText="1"/>
    </xf>
    <xf numFmtId="0" fontId="5" fillId="4" borderId="15" xfId="0" applyFont="1" applyFill="1" applyBorder="1" applyAlignment="1">
      <alignment horizontal="right"/>
    </xf>
    <xf numFmtId="0" fontId="5" fillId="4" borderId="57" xfId="0" applyFont="1" applyFill="1" applyBorder="1" applyAlignment="1">
      <alignment horizontal="right" wrapText="1"/>
    </xf>
    <xf numFmtId="0" fontId="5" fillId="4" borderId="58" xfId="0" applyFont="1" applyFill="1" applyBorder="1" applyAlignment="1">
      <alignment horizontal="right"/>
    </xf>
    <xf numFmtId="43" fontId="6" fillId="4" borderId="55" xfId="1" applyFont="1" applyFill="1" applyBorder="1" applyAlignment="1">
      <alignment horizontal="right"/>
    </xf>
    <xf numFmtId="40" fontId="5" fillId="5" borderId="5" xfId="1" applyNumberFormat="1" applyFont="1" applyFill="1" applyBorder="1" applyAlignment="1">
      <alignment horizontal="center"/>
    </xf>
    <xf numFmtId="40" fontId="5" fillId="5" borderId="0" xfId="1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40" fontId="5" fillId="6" borderId="0" xfId="1" applyNumberFormat="1" applyFont="1" applyFill="1" applyBorder="1" applyAlignment="1">
      <alignment horizontal="center"/>
    </xf>
    <xf numFmtId="40" fontId="5" fillId="6" borderId="6" xfId="1" applyNumberFormat="1" applyFont="1" applyFill="1" applyBorder="1" applyAlignment="1">
      <alignment horizontal="center"/>
    </xf>
    <xf numFmtId="14" fontId="6" fillId="0" borderId="45" xfId="0" applyNumberFormat="1" applyFont="1" applyFill="1" applyBorder="1" applyAlignment="1">
      <alignment horizontal="left" wrapText="1"/>
    </xf>
    <xf numFmtId="43" fontId="6" fillId="7" borderId="52" xfId="1" applyFont="1" applyFill="1" applyBorder="1"/>
    <xf numFmtId="40" fontId="6" fillId="7" borderId="59" xfId="1" applyNumberFormat="1" applyFont="1" applyFill="1" applyBorder="1"/>
    <xf numFmtId="40" fontId="6" fillId="7" borderId="52" xfId="1" applyNumberFormat="1" applyFont="1" applyFill="1" applyBorder="1"/>
    <xf numFmtId="0" fontId="8" fillId="2" borderId="11" xfId="0" applyFont="1" applyFill="1" applyBorder="1" applyAlignment="1">
      <alignment horizontal="center"/>
    </xf>
    <xf numFmtId="40" fontId="5" fillId="12" borderId="11" xfId="1" applyNumberFormat="1" applyFont="1" applyFill="1" applyBorder="1" applyAlignment="1">
      <alignment horizontal="center"/>
    </xf>
    <xf numFmtId="40" fontId="7" fillId="8" borderId="11" xfId="1" applyNumberFormat="1" applyFont="1" applyFill="1" applyBorder="1" applyAlignment="1">
      <alignment horizontal="center"/>
    </xf>
    <xf numFmtId="40" fontId="7" fillId="6" borderId="11" xfId="1" applyNumberFormat="1" applyFont="1" applyFill="1" applyBorder="1" applyAlignment="1">
      <alignment horizontal="center"/>
    </xf>
    <xf numFmtId="40" fontId="7" fillId="5" borderId="126" xfId="1" applyNumberFormat="1" applyFont="1" applyFill="1" applyBorder="1" applyAlignment="1">
      <alignment horizontal="center"/>
    </xf>
    <xf numFmtId="40" fontId="7" fillId="5" borderId="91" xfId="1" applyNumberFormat="1" applyFont="1" applyFill="1" applyBorder="1" applyAlignment="1">
      <alignment horizontal="center"/>
    </xf>
    <xf numFmtId="40" fontId="7" fillId="5" borderId="127" xfId="1" applyNumberFormat="1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17" fontId="5" fillId="3" borderId="11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69" fontId="5" fillId="3" borderId="11" xfId="0" applyNumberFormat="1" applyFont="1" applyFill="1" applyBorder="1" applyAlignment="1">
      <alignment horizontal="center"/>
    </xf>
    <xf numFmtId="169" fontId="5" fillId="3" borderId="12" xfId="0" applyNumberFormat="1" applyFont="1" applyFill="1" applyBorder="1" applyAlignment="1">
      <alignment horizontal="center"/>
    </xf>
    <xf numFmtId="169" fontId="5" fillId="3" borderId="13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17" fontId="5" fillId="10" borderId="11" xfId="0" applyNumberFormat="1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17" fontId="5" fillId="10" borderId="12" xfId="0" applyNumberFormat="1" applyFont="1" applyFill="1" applyBorder="1" applyAlignment="1">
      <alignment horizontal="center"/>
    </xf>
    <xf numFmtId="17" fontId="5" fillId="10" borderId="13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40" fontId="5" fillId="12" borderId="13" xfId="1" applyNumberFormat="1" applyFont="1" applyFill="1" applyBorder="1" applyAlignment="1">
      <alignment horizontal="center"/>
    </xf>
    <xf numFmtId="40" fontId="7" fillId="8" borderId="13" xfId="1" applyNumberFormat="1" applyFont="1" applyFill="1" applyBorder="1" applyAlignment="1">
      <alignment horizontal="center"/>
    </xf>
    <xf numFmtId="40" fontId="7" fillId="6" borderId="12" xfId="1" applyNumberFormat="1" applyFont="1" applyFill="1" applyBorder="1" applyAlignment="1">
      <alignment horizontal="center"/>
    </xf>
    <xf numFmtId="40" fontId="7" fillId="6" borderId="13" xfId="1" applyNumberFormat="1" applyFont="1" applyFill="1" applyBorder="1" applyAlignment="1">
      <alignment horizontal="center"/>
    </xf>
    <xf numFmtId="40" fontId="7" fillId="5" borderId="11" xfId="1" applyNumberFormat="1" applyFont="1" applyFill="1" applyBorder="1" applyAlignment="1">
      <alignment horizontal="center"/>
    </xf>
    <xf numFmtId="40" fontId="7" fillId="5" borderId="12" xfId="1" applyNumberFormat="1" applyFont="1" applyFill="1" applyBorder="1" applyAlignment="1">
      <alignment horizontal="center"/>
    </xf>
    <xf numFmtId="40" fontId="7" fillId="5" borderId="13" xfId="1" applyNumberFormat="1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40" fontId="7" fillId="8" borderId="12" xfId="1" applyNumberFormat="1" applyFont="1" applyFill="1" applyBorder="1" applyAlignment="1">
      <alignment horizontal="center"/>
    </xf>
    <xf numFmtId="40" fontId="7" fillId="6" borderId="126" xfId="1" applyNumberFormat="1" applyFont="1" applyFill="1" applyBorder="1" applyAlignment="1">
      <alignment horizontal="center"/>
    </xf>
    <xf numFmtId="40" fontId="7" fillId="6" borderId="90" xfId="1" applyNumberFormat="1" applyFont="1" applyFill="1" applyBorder="1" applyAlignment="1">
      <alignment horizontal="center"/>
    </xf>
    <xf numFmtId="40" fontId="7" fillId="6" borderId="93" xfId="1" applyNumberFormat="1" applyFont="1" applyFill="1" applyBorder="1" applyAlignment="1">
      <alignment horizontal="center"/>
    </xf>
    <xf numFmtId="40" fontId="7" fillId="5" borderId="90" xfId="1" applyNumberFormat="1" applyFont="1" applyFill="1" applyBorder="1" applyAlignment="1">
      <alignment horizontal="center"/>
    </xf>
    <xf numFmtId="40" fontId="7" fillId="5" borderId="93" xfId="1" applyNumberFormat="1" applyFont="1" applyFill="1" applyBorder="1" applyAlignment="1">
      <alignment horizontal="center"/>
    </xf>
    <xf numFmtId="40" fontId="7" fillId="12" borderId="20" xfId="1" applyNumberFormat="1" applyFont="1" applyFill="1" applyBorder="1" applyAlignment="1">
      <alignment horizontal="center"/>
    </xf>
    <xf numFmtId="40" fontId="7" fillId="12" borderId="21" xfId="1" applyNumberFormat="1" applyFont="1" applyFill="1" applyBorder="1" applyAlignment="1">
      <alignment horizontal="center"/>
    </xf>
    <xf numFmtId="40" fontId="7" fillId="8" borderId="20" xfId="1" applyNumberFormat="1" applyFont="1" applyFill="1" applyBorder="1" applyAlignment="1">
      <alignment horizontal="center"/>
    </xf>
    <xf numFmtId="40" fontId="7" fillId="8" borderId="15" xfId="1" applyNumberFormat="1" applyFont="1" applyFill="1" applyBorder="1" applyAlignment="1">
      <alignment horizontal="center"/>
    </xf>
    <xf numFmtId="40" fontId="7" fillId="6" borderId="21" xfId="1" applyNumberFormat="1" applyFont="1" applyFill="1" applyBorder="1" applyAlignment="1">
      <alignment horizontal="center"/>
    </xf>
    <xf numFmtId="40" fontId="7" fillId="5" borderId="56" xfId="1" applyNumberFormat="1" applyFont="1" applyFill="1" applyBorder="1" applyAlignment="1">
      <alignment horizontal="center"/>
    </xf>
    <xf numFmtId="40" fontId="7" fillId="5" borderId="57" xfId="1" applyNumberFormat="1" applyFont="1" applyFill="1" applyBorder="1" applyAlignment="1">
      <alignment horizontal="center"/>
    </xf>
    <xf numFmtId="40" fontId="7" fillId="5" borderId="58" xfId="1" applyNumberFormat="1" applyFont="1" applyFill="1" applyBorder="1" applyAlignment="1">
      <alignment horizontal="center"/>
    </xf>
    <xf numFmtId="40" fontId="7" fillId="12" borderId="11" xfId="1" applyNumberFormat="1" applyFont="1" applyFill="1" applyBorder="1" applyAlignment="1">
      <alignment horizontal="center"/>
    </xf>
    <xf numFmtId="40" fontId="7" fillId="12" borderId="13" xfId="1" applyNumberFormat="1" applyFont="1" applyFill="1" applyBorder="1" applyAlignment="1">
      <alignment horizontal="center"/>
    </xf>
    <xf numFmtId="40" fontId="7" fillId="6" borderId="20" xfId="1" applyNumberFormat="1" applyFont="1" applyFill="1" applyBorder="1" applyAlignment="1">
      <alignment horizontal="center"/>
    </xf>
    <xf numFmtId="40" fontId="7" fillId="6" borderId="15" xfId="1" applyNumberFormat="1" applyFont="1" applyFill="1" applyBorder="1" applyAlignment="1">
      <alignment horizontal="center"/>
    </xf>
    <xf numFmtId="40" fontId="7" fillId="5" borderId="20" xfId="1" applyNumberFormat="1" applyFont="1" applyFill="1" applyBorder="1" applyAlignment="1">
      <alignment horizontal="center"/>
    </xf>
    <xf numFmtId="40" fontId="7" fillId="5" borderId="21" xfId="1" applyNumberFormat="1" applyFont="1" applyFill="1" applyBorder="1" applyAlignment="1">
      <alignment horizontal="center"/>
    </xf>
  </cellXfs>
  <cellStyles count="10">
    <cellStyle name="Comma" xfId="1" builtinId="3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Percent" xfId="3" builtinId="5"/>
  </cellStyles>
  <dxfs count="24">
    <dxf>
      <font>
        <sz val="9"/>
      </font>
      <numFmt numFmtId="170" formatCode="_([$$-409]* #,##0.00_);_([$$-409]* \(#,##0.00\);_([$$-409]* &quot;-&quot;??_);_(@_)"/>
      <fill>
        <patternFill patternType="none">
          <fgColor indexed="64"/>
          <bgColor rgb="FFFFFF00"/>
        </patternFill>
      </fill>
      <alignment horizontal="right"/>
    </dxf>
    <dxf>
      <font>
        <sz val="9"/>
      </font>
    </dxf>
    <dxf>
      <font>
        <sz val="9"/>
      </font>
    </dxf>
    <dxf>
      <font>
        <sz val="9"/>
      </font>
      <numFmt numFmtId="19" formatCode="m/d/yyyy"/>
    </dxf>
    <dxf>
      <border>
        <bottom style="thin">
          <color rgb="FF000000"/>
        </bottom>
      </border>
    </dxf>
    <dxf>
      <font>
        <sz val="9"/>
      </font>
    </dxf>
    <dxf>
      <font>
        <b/>
        <sz val="9"/>
      </font>
    </dxf>
    <dxf>
      <font>
        <sz val="9"/>
      </font>
      <numFmt numFmtId="170" formatCode="_([$$-409]* #,##0.00_);_([$$-409]* \(#,##0.00\);_([$$-409]* &quot;-&quot;??_);_(@_)"/>
      <fill>
        <patternFill patternType="none">
          <fgColor indexed="64"/>
          <bgColor rgb="FFFFFF00"/>
        </patternFill>
      </fill>
      <alignment horizontal="right"/>
    </dxf>
    <dxf>
      <font>
        <sz val="9"/>
      </font>
    </dxf>
    <dxf>
      <font>
        <sz val="9"/>
      </font>
    </dxf>
    <dxf>
      <font>
        <sz val="9"/>
      </font>
      <numFmt numFmtId="19" formatCode="m/d/yyyy"/>
    </dxf>
    <dxf>
      <border>
        <bottom style="thin">
          <color rgb="FF000000"/>
        </bottom>
      </border>
    </dxf>
    <dxf>
      <font>
        <sz val="9"/>
      </font>
    </dxf>
    <dxf>
      <font>
        <b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4" formatCode="0.00%"/>
      <fill>
        <patternFill patternType="solid">
          <fgColor indexed="64"/>
          <bgColor theme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4" formatCode="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rgb="FF000000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rgb="FF000000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22" formatCode="mmm\-yy"/>
      <fill>
        <patternFill patternType="solid">
          <fgColor indexed="64"/>
          <bgColor rgb="FFFFFFCC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Expense.xlsx]Graph!PivotTable3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Graph!$I$29</c:f>
              <c:strCache>
                <c:ptCount val="1"/>
                <c:pt idx="0">
                  <c:v>Sum of 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Graph!$I$30</c:f>
              <c:numCache>
                <c:formatCode>_(* #,##0.00_);_(* \(#,##0.00\);_(* "-"??_);_(@_)</c:formatCode>
                <c:ptCount val="1"/>
                <c:pt idx="0">
                  <c:v>35399.345500000003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C-480F-B271-D1C93BC900EB}"/>
            </c:ext>
          </c:extLst>
        </c:ser>
        <c:ser>
          <c:idx val="1"/>
          <c:order val="1"/>
          <c:tx>
            <c:strRef>
              <c:f>Graph!$J$29</c:f>
              <c:strCache>
                <c:ptCount val="1"/>
                <c:pt idx="0">
                  <c:v>Sum of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Graph!$J$30</c:f>
              <c:numCache>
                <c:formatCode>_(* #,##0.00_);_(* \(#,##0.00\);_(* "-"??_);_(@_)</c:formatCode>
                <c:ptCount val="1"/>
                <c:pt idx="0">
                  <c:v>33810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EC-480F-B271-D1C93BC900EB}"/>
            </c:ext>
          </c:extLst>
        </c:ser>
        <c:ser>
          <c:idx val="2"/>
          <c:order val="2"/>
          <c:tx>
            <c:strRef>
              <c:f>Graph!$K$29</c:f>
              <c:strCache>
                <c:ptCount val="1"/>
                <c:pt idx="0">
                  <c:v>Sum of 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Graph!$K$30</c:f>
              <c:numCache>
                <c:formatCode>_(* #,##0.00_);_(* \(#,##0.00\);_(* "-"??_);_(@_)</c:formatCode>
                <c:ptCount val="1"/>
                <c:pt idx="0">
                  <c:v>33330.288979999998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EC-480F-B271-D1C93BC900EB}"/>
            </c:ext>
          </c:extLst>
        </c:ser>
        <c:ser>
          <c:idx val="3"/>
          <c:order val="3"/>
          <c:tx>
            <c:strRef>
              <c:f>Graph!$L$29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Graph!$L$30</c:f>
              <c:numCache>
                <c:formatCode>_(* #,##0.00_);_(* \(#,##0.00\);_(* "-"??_);_(@_)</c:formatCode>
                <c:ptCount val="1"/>
                <c:pt idx="0">
                  <c:v>42343.479000000007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EC-480F-B271-D1C93BC900EB}"/>
            </c:ext>
          </c:extLst>
        </c:ser>
        <c:ser>
          <c:idx val="4"/>
          <c:order val="4"/>
          <c:tx>
            <c:strRef>
              <c:f>Graph!$M$29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Graph!$M$30</c:f>
              <c:numCache>
                <c:formatCode>_(* #,##0.00_);_(* \(#,##0.00\);_(* "-"??_);_(@_)</c:formatCode>
                <c:ptCount val="1"/>
                <c:pt idx="0">
                  <c:v>48629.08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EC-480F-B271-D1C93BC900EB}"/>
            </c:ext>
          </c:extLst>
        </c:ser>
        <c:ser>
          <c:idx val="5"/>
          <c:order val="5"/>
          <c:tx>
            <c:strRef>
              <c:f>Graph!$N$29</c:f>
              <c:strCache>
                <c:ptCount val="1"/>
                <c:pt idx="0">
                  <c:v>Sum of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Graph!$N$30</c:f>
              <c:numCache>
                <c:formatCode>_(* #,##0.00_);_(* \(#,##0.00\);_(* "-"??_);_(@_)</c:formatCode>
                <c:ptCount val="1"/>
                <c:pt idx="0">
                  <c:v>57314.43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EC-480F-B271-D1C93BC900EB}"/>
            </c:ext>
          </c:extLst>
        </c:ser>
        <c:ser>
          <c:idx val="6"/>
          <c:order val="6"/>
          <c:tx>
            <c:strRef>
              <c:f>Graph!$O$29</c:f>
              <c:strCache>
                <c:ptCount val="1"/>
                <c:pt idx="0">
                  <c:v>Sum of 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Graph!$O$30</c:f>
              <c:numCache>
                <c:formatCode>_(* #,##0.00_);_(* \(#,##0.00\);_(* "-"??_);_(@_)</c:formatCode>
                <c:ptCount val="1"/>
                <c:pt idx="0">
                  <c:v>61641.51666666667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EC-480F-B271-D1C93BC900EB}"/>
            </c:ext>
          </c:extLst>
        </c:ser>
        <c:ser>
          <c:idx val="7"/>
          <c:order val="7"/>
          <c:tx>
            <c:strRef>
              <c:f>Graph!$P$29</c:f>
              <c:strCache>
                <c:ptCount val="1"/>
                <c:pt idx="0">
                  <c:v>Sum of 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Graph!$P$30</c:f>
              <c:numCache>
                <c:formatCode>_(* #,##0.00_);_(* \(#,##0.00\);_(* "-"??_);_(@_)</c:formatCode>
                <c:ptCount val="1"/>
                <c:pt idx="0">
                  <c:v>66956.63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EC-480F-B271-D1C93BC900EB}"/>
            </c:ext>
          </c:extLst>
        </c:ser>
        <c:ser>
          <c:idx val="8"/>
          <c:order val="8"/>
          <c:tx>
            <c:strRef>
              <c:f>Graph!$Q$29</c:f>
              <c:strCache>
                <c:ptCount val="1"/>
                <c:pt idx="0">
                  <c:v>Sum of 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Graph!$Q$30</c:f>
              <c:numCache>
                <c:formatCode>_(* #,##0.00_);_(* \(#,##0.00\);_(* "-"??_);_(@_)</c:formatCode>
                <c:ptCount val="1"/>
                <c:pt idx="0">
                  <c:v>111005.54000000001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EC-480F-B271-D1C93BC900EB}"/>
            </c:ext>
          </c:extLst>
        </c:ser>
        <c:ser>
          <c:idx val="9"/>
          <c:order val="9"/>
          <c:tx>
            <c:strRef>
              <c:f>Graph!$R$29</c:f>
              <c:strCache>
                <c:ptCount val="1"/>
                <c:pt idx="0">
                  <c:v>Sum of 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Graph!$R$30</c:f>
              <c:numCache>
                <c:formatCode>_(* #,##0.00_);_(* \(#,##0.00\);_(* "-"??_);_(@_)</c:formatCode>
                <c:ptCount val="1"/>
                <c:pt idx="0">
                  <c:v>133309.91999999998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7-4C2F-B8B9-C84680920087}"/>
            </c:ext>
          </c:extLst>
        </c:ser>
        <c:ser>
          <c:idx val="10"/>
          <c:order val="10"/>
          <c:tx>
            <c:strRef>
              <c:f>Graph!$S$29</c:f>
              <c:strCache>
                <c:ptCount val="1"/>
                <c:pt idx="0">
                  <c:v>Sum of 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Graph!$S$30</c:f>
              <c:numCache>
                <c:formatCode>_(* #,##0.00_);_(* \(#,##0.00\);_(* "-"??_);_(@_)</c:formatCode>
                <c:ptCount val="1"/>
                <c:pt idx="0">
                  <c:v>178085.14999999997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9-4FDD-8FD2-A82085D3C1A7}"/>
            </c:ext>
          </c:extLst>
        </c:ser>
        <c:ser>
          <c:idx val="11"/>
          <c:order val="11"/>
          <c:tx>
            <c:strRef>
              <c:f>Graph!$T$29</c:f>
              <c:strCache>
                <c:ptCount val="1"/>
                <c:pt idx="0">
                  <c:v>Sum of 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Graph!$T$30</c:f>
              <c:numCache>
                <c:formatCode>_(* #,##0.00_);_(* \(#,##0.00\);_(* "-"??_);_(@_)</c:formatCode>
                <c:ptCount val="1"/>
                <c:pt idx="0">
                  <c:v>160182.52000000002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3-4F64-B7B6-DC9899A80719}"/>
            </c:ext>
          </c:extLst>
        </c:ser>
        <c:ser>
          <c:idx val="12"/>
          <c:order val="12"/>
          <c:tx>
            <c:strRef>
              <c:f>Graph!$U$29</c:f>
              <c:strCache>
                <c:ptCount val="1"/>
                <c:pt idx="0">
                  <c:v>Sum of 2026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Graph!$I$30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Graph!$U$30</c:f>
              <c:numCache>
                <c:formatCode>_(* #,##0.00_);_(* \(#,##0.00\);_(* "-"??_);_(@_)</c:formatCode>
                <c:ptCount val="1"/>
                <c:pt idx="0">
                  <c:v>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A-468F-9C5B-E1A7F7951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137000"/>
        <c:axId val="230136608"/>
      </c:barChart>
      <c:catAx>
        <c:axId val="23013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36608"/>
        <c:crosses val="autoZero"/>
        <c:auto val="1"/>
        <c:lblAlgn val="ctr"/>
        <c:lblOffset val="100"/>
        <c:noMultiLvlLbl val="0"/>
      </c:catAx>
      <c:valAx>
        <c:axId val="2301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3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207927351781969"/>
          <c:y val="6.4117351797883887E-2"/>
          <c:w val="7.7788108589747315E-2"/>
          <c:h val="0.53957569317676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 Net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Graph!$A$4:$A$159</c:f>
              <c:numCache>
                <c:formatCode>mmm\-yy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44217</c:v>
                </c:pt>
                <c:pt idx="85">
                  <c:v>44248</c:v>
                </c:pt>
                <c:pt idx="86">
                  <c:v>44276</c:v>
                </c:pt>
                <c:pt idx="87">
                  <c:v>44307</c:v>
                </c:pt>
                <c:pt idx="88">
                  <c:v>44337</c:v>
                </c:pt>
                <c:pt idx="89">
                  <c:v>44368</c:v>
                </c:pt>
                <c:pt idx="90">
                  <c:v>44398</c:v>
                </c:pt>
                <c:pt idx="91">
                  <c:v>44429</c:v>
                </c:pt>
                <c:pt idx="92">
                  <c:v>44460</c:v>
                </c:pt>
                <c:pt idx="93">
                  <c:v>44490</c:v>
                </c:pt>
                <c:pt idx="94">
                  <c:v>44521</c:v>
                </c:pt>
                <c:pt idx="95">
                  <c:v>44551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Graph!$B$4:$B$159</c:f>
              <c:numCache>
                <c:formatCode>_(* #,##0.00_);_(* \(#,##0.00\);_(* "-"??_);_(@_)</c:formatCode>
                <c:ptCount val="156"/>
                <c:pt idx="0">
                  <c:v>21649.025000000001</c:v>
                </c:pt>
                <c:pt idx="1">
                  <c:v>22401.335000000003</c:v>
                </c:pt>
                <c:pt idx="2">
                  <c:v>23723.73</c:v>
                </c:pt>
                <c:pt idx="3">
                  <c:v>23432.04</c:v>
                </c:pt>
                <c:pt idx="4">
                  <c:v>24523.49</c:v>
                </c:pt>
                <c:pt idx="5">
                  <c:v>24628.909999999996</c:v>
                </c:pt>
                <c:pt idx="6">
                  <c:v>25890.340000000004</c:v>
                </c:pt>
                <c:pt idx="7">
                  <c:v>26583.16</c:v>
                </c:pt>
                <c:pt idx="8">
                  <c:v>27276.629999999997</c:v>
                </c:pt>
                <c:pt idx="9">
                  <c:v>27004.21</c:v>
                </c:pt>
                <c:pt idx="10">
                  <c:v>26880.92</c:v>
                </c:pt>
                <c:pt idx="11">
                  <c:v>27223.75</c:v>
                </c:pt>
                <c:pt idx="12">
                  <c:v>28593.489999999998</c:v>
                </c:pt>
                <c:pt idx="13">
                  <c:v>28220.989999999998</c:v>
                </c:pt>
                <c:pt idx="14">
                  <c:v>28589.920000000002</c:v>
                </c:pt>
                <c:pt idx="15">
                  <c:v>29266.99</c:v>
                </c:pt>
                <c:pt idx="16">
                  <c:v>30007.840000000004</c:v>
                </c:pt>
                <c:pt idx="17">
                  <c:v>30396.9</c:v>
                </c:pt>
                <c:pt idx="18">
                  <c:v>31336.35</c:v>
                </c:pt>
                <c:pt idx="19">
                  <c:v>31108.32</c:v>
                </c:pt>
                <c:pt idx="20">
                  <c:v>31657.56</c:v>
                </c:pt>
                <c:pt idx="21">
                  <c:v>33152.22</c:v>
                </c:pt>
                <c:pt idx="22">
                  <c:v>34074.549999999996</c:v>
                </c:pt>
                <c:pt idx="23">
                  <c:v>34719.280000000006</c:v>
                </c:pt>
                <c:pt idx="24">
                  <c:v>35458.239999999998</c:v>
                </c:pt>
                <c:pt idx="25">
                  <c:v>35923.871019999999</c:v>
                </c:pt>
                <c:pt idx="26">
                  <c:v>35940.411020000007</c:v>
                </c:pt>
                <c:pt idx="27">
                  <c:v>38992.729999999996</c:v>
                </c:pt>
                <c:pt idx="28">
                  <c:v>38568.28</c:v>
                </c:pt>
                <c:pt idx="29">
                  <c:v>40042.390000000007</c:v>
                </c:pt>
                <c:pt idx="30">
                  <c:v>41991.170000000006</c:v>
                </c:pt>
                <c:pt idx="31">
                  <c:v>43010.929999999993</c:v>
                </c:pt>
                <c:pt idx="32">
                  <c:v>52337.869999999995</c:v>
                </c:pt>
                <c:pt idx="33">
                  <c:v>54547.500000000007</c:v>
                </c:pt>
                <c:pt idx="34">
                  <c:v>56251.079999999994</c:v>
                </c:pt>
                <c:pt idx="35">
                  <c:v>57734.430000000008</c:v>
                </c:pt>
                <c:pt idx="36">
                  <c:v>59381.57</c:v>
                </c:pt>
                <c:pt idx="37">
                  <c:v>63826.229999999996</c:v>
                </c:pt>
                <c:pt idx="38">
                  <c:v>67300.78</c:v>
                </c:pt>
                <c:pt idx="39">
                  <c:v>69374.700000000012</c:v>
                </c:pt>
                <c:pt idx="40">
                  <c:v>70547.820000000007</c:v>
                </c:pt>
                <c:pt idx="41">
                  <c:v>72552.12000000001</c:v>
                </c:pt>
                <c:pt idx="42">
                  <c:v>74761.81</c:v>
                </c:pt>
                <c:pt idx="43">
                  <c:v>75832.990000000005</c:v>
                </c:pt>
                <c:pt idx="44">
                  <c:v>77967.44</c:v>
                </c:pt>
                <c:pt idx="45">
                  <c:v>82843.960000000006</c:v>
                </c:pt>
                <c:pt idx="46">
                  <c:v>84258.729999999981</c:v>
                </c:pt>
                <c:pt idx="47">
                  <c:v>83360.539999999994</c:v>
                </c:pt>
                <c:pt idx="48">
                  <c:v>88002.01</c:v>
                </c:pt>
                <c:pt idx="49">
                  <c:v>89676.12</c:v>
                </c:pt>
                <c:pt idx="50">
                  <c:v>91419.650000000009</c:v>
                </c:pt>
                <c:pt idx="51">
                  <c:v>93461.5</c:v>
                </c:pt>
                <c:pt idx="52">
                  <c:v>94707.96</c:v>
                </c:pt>
                <c:pt idx="53">
                  <c:v>95737.19</c:v>
                </c:pt>
                <c:pt idx="54">
                  <c:v>97583.59</c:v>
                </c:pt>
                <c:pt idx="55">
                  <c:v>99555.400000000009</c:v>
                </c:pt>
                <c:pt idx="56">
                  <c:v>100370.47</c:v>
                </c:pt>
                <c:pt idx="57">
                  <c:v>101868.64</c:v>
                </c:pt>
                <c:pt idx="58">
                  <c:v>102746.66</c:v>
                </c:pt>
                <c:pt idx="59">
                  <c:v>103815.63</c:v>
                </c:pt>
                <c:pt idx="60">
                  <c:v>103701.28</c:v>
                </c:pt>
                <c:pt idx="61">
                  <c:v>111548.5</c:v>
                </c:pt>
                <c:pt idx="62">
                  <c:v>115410.87000000001</c:v>
                </c:pt>
                <c:pt idx="63">
                  <c:v>117380.3</c:v>
                </c:pt>
                <c:pt idx="64">
                  <c:v>122448.72</c:v>
                </c:pt>
                <c:pt idx="65">
                  <c:v>126326.14000000001</c:v>
                </c:pt>
                <c:pt idx="66">
                  <c:v>127607.85000000002</c:v>
                </c:pt>
                <c:pt idx="67">
                  <c:v>125854.18000000001</c:v>
                </c:pt>
                <c:pt idx="68">
                  <c:v>128779.55000000002</c:v>
                </c:pt>
                <c:pt idx="69">
                  <c:v>134475.75</c:v>
                </c:pt>
                <c:pt idx="70">
                  <c:v>136040.93</c:v>
                </c:pt>
                <c:pt idx="71">
                  <c:v>136087.78000000003</c:v>
                </c:pt>
                <c:pt idx="72">
                  <c:v>143371.09333333335</c:v>
                </c:pt>
                <c:pt idx="73">
                  <c:v>145478.28333333335</c:v>
                </c:pt>
                <c:pt idx="74">
                  <c:v>148894.11333333334</c:v>
                </c:pt>
                <c:pt idx="75">
                  <c:v>151665.39333333334</c:v>
                </c:pt>
                <c:pt idx="76">
                  <c:v>166271.39000000001</c:v>
                </c:pt>
                <c:pt idx="77">
                  <c:v>170080.15000000002</c:v>
                </c:pt>
                <c:pt idx="78">
                  <c:v>177535.14</c:v>
                </c:pt>
                <c:pt idx="79">
                  <c:v>182809.5</c:v>
                </c:pt>
                <c:pt idx="80">
                  <c:v>185072.62</c:v>
                </c:pt>
                <c:pt idx="81">
                  <c:v>189313</c:v>
                </c:pt>
                <c:pt idx="82">
                  <c:v>189702</c:v>
                </c:pt>
                <c:pt idx="83">
                  <c:v>182996.97</c:v>
                </c:pt>
                <c:pt idx="84">
                  <c:v>202970.41</c:v>
                </c:pt>
                <c:pt idx="85">
                  <c:v>209736.35</c:v>
                </c:pt>
                <c:pt idx="86">
                  <c:v>217852.64</c:v>
                </c:pt>
                <c:pt idx="87">
                  <c:v>228506.33</c:v>
                </c:pt>
                <c:pt idx="88">
                  <c:v>235452.41999999998</c:v>
                </c:pt>
                <c:pt idx="89">
                  <c:v>238023.38999999998</c:v>
                </c:pt>
                <c:pt idx="90">
                  <c:v>241929.56</c:v>
                </c:pt>
                <c:pt idx="91">
                  <c:v>339896.92</c:v>
                </c:pt>
                <c:pt idx="92">
                  <c:v>327743.53000000003</c:v>
                </c:pt>
                <c:pt idx="93">
                  <c:v>339672.38999999996</c:v>
                </c:pt>
                <c:pt idx="94">
                  <c:v>360809.39</c:v>
                </c:pt>
                <c:pt idx="95">
                  <c:v>361300.74</c:v>
                </c:pt>
                <c:pt idx="96">
                  <c:v>374494.79000000004</c:v>
                </c:pt>
                <c:pt idx="97">
                  <c:v>382192.76</c:v>
                </c:pt>
                <c:pt idx="98">
                  <c:v>389681.92000000004</c:v>
                </c:pt>
                <c:pt idx="99">
                  <c:v>453439.83</c:v>
                </c:pt>
                <c:pt idx="100">
                  <c:v>461174.03</c:v>
                </c:pt>
                <c:pt idx="101">
                  <c:v>466710.86000000004</c:v>
                </c:pt>
                <c:pt idx="102">
                  <c:v>468172.14</c:v>
                </c:pt>
                <c:pt idx="103">
                  <c:v>472366.96</c:v>
                </c:pt>
                <c:pt idx="104">
                  <c:v>478379.2</c:v>
                </c:pt>
                <c:pt idx="105">
                  <c:v>497753.12000000005</c:v>
                </c:pt>
                <c:pt idx="106">
                  <c:v>506757.50000000006</c:v>
                </c:pt>
                <c:pt idx="107">
                  <c:v>513415.83</c:v>
                </c:pt>
                <c:pt idx="108">
                  <c:v>519358.65</c:v>
                </c:pt>
                <c:pt idx="109">
                  <c:v>528991.57000000007</c:v>
                </c:pt>
                <c:pt idx="110">
                  <c:v>534796.34</c:v>
                </c:pt>
                <c:pt idx="111">
                  <c:v>521982.59</c:v>
                </c:pt>
                <c:pt idx="112">
                  <c:v>540912.64000000001</c:v>
                </c:pt>
                <c:pt idx="113">
                  <c:v>552137.86</c:v>
                </c:pt>
                <c:pt idx="114">
                  <c:v>560279.51</c:v>
                </c:pt>
                <c:pt idx="115">
                  <c:v>563510.09</c:v>
                </c:pt>
                <c:pt idx="116">
                  <c:v>575030.64</c:v>
                </c:pt>
                <c:pt idx="117">
                  <c:v>581418.39</c:v>
                </c:pt>
                <c:pt idx="118">
                  <c:v>597110.41999999993</c:v>
                </c:pt>
                <c:pt idx="119">
                  <c:v>618309.86</c:v>
                </c:pt>
                <c:pt idx="120">
                  <c:v>627348.80000000005</c:v>
                </c:pt>
                <c:pt idx="121">
                  <c:v>661374.83000000007</c:v>
                </c:pt>
                <c:pt idx="122">
                  <c:v>687954.51</c:v>
                </c:pt>
                <c:pt idx="123">
                  <c:v>706272.08000000007</c:v>
                </c:pt>
                <c:pt idx="124">
                  <c:v>718298.79</c:v>
                </c:pt>
                <c:pt idx="125">
                  <c:v>702468.57000000007</c:v>
                </c:pt>
                <c:pt idx="126">
                  <c:v>710791.1</c:v>
                </c:pt>
                <c:pt idx="127">
                  <c:v>741976.30999999994</c:v>
                </c:pt>
                <c:pt idx="128">
                  <c:v>728720.52</c:v>
                </c:pt>
                <c:pt idx="129">
                  <c:v>744841.97</c:v>
                </c:pt>
                <c:pt idx="130">
                  <c:v>784027.66999999993</c:v>
                </c:pt>
                <c:pt idx="131">
                  <c:v>781376.40999999992</c:v>
                </c:pt>
                <c:pt idx="132">
                  <c:v>807554.42999999993</c:v>
                </c:pt>
                <c:pt idx="133">
                  <c:v>817724.54</c:v>
                </c:pt>
                <c:pt idx="134">
                  <c:v>824757.16999999993</c:v>
                </c:pt>
                <c:pt idx="135">
                  <c:v>841862.56</c:v>
                </c:pt>
                <c:pt idx="136">
                  <c:v>853481.67999999993</c:v>
                </c:pt>
                <c:pt idx="137">
                  <c:v>880486</c:v>
                </c:pt>
                <c:pt idx="138">
                  <c:v>936950.32000000007</c:v>
                </c:pt>
                <c:pt idx="139">
                  <c:v>951379.03</c:v>
                </c:pt>
                <c:pt idx="140">
                  <c:v>982804.10000000009</c:v>
                </c:pt>
                <c:pt idx="141">
                  <c:v>1030999.36</c:v>
                </c:pt>
                <c:pt idx="142">
                  <c:v>1040656.3200000001</c:v>
                </c:pt>
                <c:pt idx="143">
                  <c:v>1051547.3500000001</c:v>
                </c:pt>
                <c:pt idx="144">
                  <c:v>1083924.31</c:v>
                </c:pt>
                <c:pt idx="145">
                  <c:v>1098715.24</c:v>
                </c:pt>
                <c:pt idx="146">
                  <c:v>1081075.1199999999</c:v>
                </c:pt>
                <c:pt idx="147">
                  <c:v>1106484.02</c:v>
                </c:pt>
                <c:pt idx="148">
                  <c:v>1128693.3700000001</c:v>
                </c:pt>
                <c:pt idx="149">
                  <c:v>1122652.75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6-4181-A268-8D9EDD2D8167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 Checking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Graph!$A$4:$A$159</c:f>
              <c:numCache>
                <c:formatCode>mmm\-yy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44217</c:v>
                </c:pt>
                <c:pt idx="85">
                  <c:v>44248</c:v>
                </c:pt>
                <c:pt idx="86">
                  <c:v>44276</c:v>
                </c:pt>
                <c:pt idx="87">
                  <c:v>44307</c:v>
                </c:pt>
                <c:pt idx="88">
                  <c:v>44337</c:v>
                </c:pt>
                <c:pt idx="89">
                  <c:v>44368</c:v>
                </c:pt>
                <c:pt idx="90">
                  <c:v>44398</c:v>
                </c:pt>
                <c:pt idx="91">
                  <c:v>44429</c:v>
                </c:pt>
                <c:pt idx="92">
                  <c:v>44460</c:v>
                </c:pt>
                <c:pt idx="93">
                  <c:v>44490</c:v>
                </c:pt>
                <c:pt idx="94">
                  <c:v>44521</c:v>
                </c:pt>
                <c:pt idx="95">
                  <c:v>44551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Graph!$C$4:$C$159</c:f>
              <c:numCache>
                <c:formatCode>#,##0.00_);[Red]\(#,##0.00\)</c:formatCode>
                <c:ptCount val="156"/>
                <c:pt idx="0">
                  <c:v>1271.79</c:v>
                </c:pt>
                <c:pt idx="1">
                  <c:v>1297.42</c:v>
                </c:pt>
                <c:pt idx="2">
                  <c:v>1345.88</c:v>
                </c:pt>
                <c:pt idx="3">
                  <c:v>1400</c:v>
                </c:pt>
                <c:pt idx="4">
                  <c:v>1450.97</c:v>
                </c:pt>
                <c:pt idx="5">
                  <c:v>1500.9299999999998</c:v>
                </c:pt>
                <c:pt idx="6">
                  <c:v>1550.26</c:v>
                </c:pt>
                <c:pt idx="7">
                  <c:v>1600.44</c:v>
                </c:pt>
                <c:pt idx="8">
                  <c:v>1650</c:v>
                </c:pt>
                <c:pt idx="9">
                  <c:v>1650.4899999999998</c:v>
                </c:pt>
                <c:pt idx="10">
                  <c:v>1700</c:v>
                </c:pt>
                <c:pt idx="11">
                  <c:v>1750</c:v>
                </c:pt>
                <c:pt idx="12">
                  <c:v>1800.15</c:v>
                </c:pt>
                <c:pt idx="13">
                  <c:v>1850.06</c:v>
                </c:pt>
                <c:pt idx="14">
                  <c:v>1900</c:v>
                </c:pt>
                <c:pt idx="15">
                  <c:v>1900</c:v>
                </c:pt>
                <c:pt idx="16">
                  <c:v>1950</c:v>
                </c:pt>
                <c:pt idx="17">
                  <c:v>1969.8</c:v>
                </c:pt>
                <c:pt idx="18">
                  <c:v>2000.73</c:v>
                </c:pt>
                <c:pt idx="19">
                  <c:v>2000.45</c:v>
                </c:pt>
                <c:pt idx="20">
                  <c:v>2049.6999999999998</c:v>
                </c:pt>
                <c:pt idx="21">
                  <c:v>2100.06</c:v>
                </c:pt>
                <c:pt idx="22">
                  <c:v>2150.06</c:v>
                </c:pt>
                <c:pt idx="23">
                  <c:v>2200.12</c:v>
                </c:pt>
                <c:pt idx="24" formatCode="_(* #,##0.00_);_(* \(#,##0.00\);_(* &quot;-&quot;??_);_(@_)">
                  <c:v>2250.81</c:v>
                </c:pt>
                <c:pt idx="25" formatCode="_(* #,##0.00_);_(* \(#,##0.00\);_(* &quot;-&quot;??_);_(@_)">
                  <c:v>2300.67</c:v>
                </c:pt>
                <c:pt idx="26" formatCode="_(* #,##0.00_);_(* \(#,##0.00\);_(* &quot;-&quot;??_);_(@_)">
                  <c:v>2350.87</c:v>
                </c:pt>
                <c:pt idx="27" formatCode="_(* #,##0.00_);_(* \(#,##0.00\);_(* &quot;-&quot;??_);_(@_)">
                  <c:v>2400.6400000000003</c:v>
                </c:pt>
                <c:pt idx="28" formatCode="_(* #,##0.00_);_(* \(#,##0.00\);_(* &quot;-&quot;??_);_(@_)">
                  <c:v>2450.66</c:v>
                </c:pt>
                <c:pt idx="29" formatCode="_(* #,##0.00_);_(* \(#,##0.00\);_(* &quot;-&quot;??_);_(@_)">
                  <c:v>2500.2999999999997</c:v>
                </c:pt>
                <c:pt idx="30" formatCode="_(* #,##0.00_);_(* \(#,##0.00\);_(* &quot;-&quot;??_);_(@_)">
                  <c:v>2550.0000000000005</c:v>
                </c:pt>
                <c:pt idx="31" formatCode="_(* #,##0.00_);_(* \(#,##0.00\);_(* &quot;-&quot;??_);_(@_)">
                  <c:v>2600.9900000000007</c:v>
                </c:pt>
                <c:pt idx="32" formatCode="_(* #,##0.00_);_(* \(#,##0.00\);_(* &quot;-&quot;??_);_(@_)">
                  <c:v>2650.0000000000005</c:v>
                </c:pt>
                <c:pt idx="33" formatCode="_(* #,##0.00_);_(* \(#,##0.00\);_(* &quot;-&quot;??_);_(@_)">
                  <c:v>2700</c:v>
                </c:pt>
                <c:pt idx="34" formatCode="_(* #,##0.00_);_(* \(#,##0.00\);_(* &quot;-&quot;??_);_(@_)">
                  <c:v>2750.96</c:v>
                </c:pt>
                <c:pt idx="35" formatCode="_(* #,##0.00_);_(* \(#,##0.00\);_(* &quot;-&quot;??_);_(@_)">
                  <c:v>2800</c:v>
                </c:pt>
                <c:pt idx="36" formatCode="_(* #,##0.00_);_(* \(#,##0.00\);_(* &quot;-&quot;??_);_(@_)">
                  <c:v>2850.38</c:v>
                </c:pt>
                <c:pt idx="37" formatCode="_(* #,##0.00_);_(* \(#,##0.00\);_(* &quot;-&quot;??_);_(@_)">
                  <c:v>2900.8300000000004</c:v>
                </c:pt>
                <c:pt idx="38" formatCode="_(* #,##0.00_);_(* \(#,##0.00\);_(* &quot;-&quot;??_);_(@_)">
                  <c:v>2950.76</c:v>
                </c:pt>
                <c:pt idx="39" formatCode="_(* #,##0.00_);_(* \(#,##0.00\);_(* &quot;-&quot;??_);_(@_)">
                  <c:v>3000</c:v>
                </c:pt>
                <c:pt idx="40" formatCode="_(* #,##0.00_);_(* \(#,##0.00\);_(* &quot;-&quot;??_);_(@_)">
                  <c:v>3050</c:v>
                </c:pt>
                <c:pt idx="41" formatCode="_(* #,##0.00_);_(* \(#,##0.00\);_(* &quot;-&quot;??_);_(@_)">
                  <c:v>3100</c:v>
                </c:pt>
                <c:pt idx="42" formatCode="_(* #,##0.00_);_(* \(#,##0.00\);_(* &quot;-&quot;??_);_(@_)">
                  <c:v>3150</c:v>
                </c:pt>
                <c:pt idx="43" formatCode="_(* #,##0.00_);_(* \(#,##0.00\);_(* &quot;-&quot;??_);_(@_)">
                  <c:v>3200.05</c:v>
                </c:pt>
                <c:pt idx="44" formatCode="_(* #,##0.00_);_(* \(#,##0.00\);_(* &quot;-&quot;??_);_(@_)">
                  <c:v>3250</c:v>
                </c:pt>
                <c:pt idx="45" formatCode="_(* #,##0.00_);_(* \(#,##0.00\);_(* &quot;-&quot;??_);_(@_)">
                  <c:v>3300</c:v>
                </c:pt>
                <c:pt idx="46" formatCode="_(* #,##0.00_);_(* \(#,##0.00\);_(* &quot;-&quot;??_);_(@_)">
                  <c:v>3350.9300000000003</c:v>
                </c:pt>
                <c:pt idx="47" formatCode="_(* #,##0.00_);_(* \(#,##0.00\);_(* &quot;-&quot;??_);_(@_)">
                  <c:v>3400.2100000000005</c:v>
                </c:pt>
                <c:pt idx="48">
                  <c:v>3450.7200000000007</c:v>
                </c:pt>
                <c:pt idx="49">
                  <c:v>3500.6600000000008</c:v>
                </c:pt>
                <c:pt idx="50">
                  <c:v>3550.6600000000008</c:v>
                </c:pt>
                <c:pt idx="51">
                  <c:v>3600.6600000000008</c:v>
                </c:pt>
                <c:pt idx="52">
                  <c:v>3650.7300000000005</c:v>
                </c:pt>
                <c:pt idx="53">
                  <c:v>3700.0000000000005</c:v>
                </c:pt>
                <c:pt idx="54">
                  <c:v>3750.4100000000008</c:v>
                </c:pt>
                <c:pt idx="55">
                  <c:v>3800.420000000001</c:v>
                </c:pt>
                <c:pt idx="56">
                  <c:v>3850.0000000000014</c:v>
                </c:pt>
                <c:pt idx="57">
                  <c:v>3900.0000000000014</c:v>
                </c:pt>
                <c:pt idx="58">
                  <c:v>3950.0000000000009</c:v>
                </c:pt>
                <c:pt idx="59">
                  <c:v>4000</c:v>
                </c:pt>
                <c:pt idx="60">
                  <c:v>4050</c:v>
                </c:pt>
                <c:pt idx="61">
                  <c:v>4100</c:v>
                </c:pt>
                <c:pt idx="62">
                  <c:v>4150</c:v>
                </c:pt>
                <c:pt idx="63">
                  <c:v>4200</c:v>
                </c:pt>
                <c:pt idx="64">
                  <c:v>4250</c:v>
                </c:pt>
                <c:pt idx="65">
                  <c:v>4300.29</c:v>
                </c:pt>
                <c:pt idx="66">
                  <c:v>4350.29</c:v>
                </c:pt>
                <c:pt idx="67">
                  <c:v>4400.58</c:v>
                </c:pt>
                <c:pt idx="68">
                  <c:v>4450.58</c:v>
                </c:pt>
                <c:pt idx="69">
                  <c:v>4500</c:v>
                </c:pt>
                <c:pt idx="70">
                  <c:v>4550</c:v>
                </c:pt>
                <c:pt idx="71">
                  <c:v>4600</c:v>
                </c:pt>
                <c:pt idx="72">
                  <c:v>4650.003333333334</c:v>
                </c:pt>
                <c:pt idx="73">
                  <c:v>4700.003333333334</c:v>
                </c:pt>
                <c:pt idx="74">
                  <c:v>4750.003333333334</c:v>
                </c:pt>
                <c:pt idx="75">
                  <c:v>4800.6433333333334</c:v>
                </c:pt>
                <c:pt idx="76">
                  <c:v>4850</c:v>
                </c:pt>
                <c:pt idx="77">
                  <c:v>4900</c:v>
                </c:pt>
                <c:pt idx="78">
                  <c:v>4950</c:v>
                </c:pt>
                <c:pt idx="79">
                  <c:v>5000</c:v>
                </c:pt>
                <c:pt idx="80">
                  <c:v>5050</c:v>
                </c:pt>
                <c:pt idx="81">
                  <c:v>5100</c:v>
                </c:pt>
                <c:pt idx="82">
                  <c:v>5150</c:v>
                </c:pt>
                <c:pt idx="83">
                  <c:v>5200</c:v>
                </c:pt>
                <c:pt idx="84">
                  <c:v>5250</c:v>
                </c:pt>
                <c:pt idx="85">
                  <c:v>5300</c:v>
                </c:pt>
                <c:pt idx="86">
                  <c:v>5350</c:v>
                </c:pt>
                <c:pt idx="87">
                  <c:v>5400</c:v>
                </c:pt>
                <c:pt idx="88">
                  <c:v>5450</c:v>
                </c:pt>
                <c:pt idx="89">
                  <c:v>5500.0000000000009</c:v>
                </c:pt>
                <c:pt idx="90">
                  <c:v>5550.0000000000009</c:v>
                </c:pt>
                <c:pt idx="91">
                  <c:v>5600</c:v>
                </c:pt>
                <c:pt idx="92">
                  <c:v>5906.6100000000015</c:v>
                </c:pt>
                <c:pt idx="93">
                  <c:v>6024.7700000000032</c:v>
                </c:pt>
                <c:pt idx="94">
                  <c:v>6509.7700000000023</c:v>
                </c:pt>
                <c:pt idx="95">
                  <c:v>6609</c:v>
                </c:pt>
                <c:pt idx="96">
                  <c:v>8071</c:v>
                </c:pt>
                <c:pt idx="97">
                  <c:v>8509</c:v>
                </c:pt>
                <c:pt idx="98">
                  <c:v>8759</c:v>
                </c:pt>
                <c:pt idx="99">
                  <c:v>9209</c:v>
                </c:pt>
                <c:pt idx="100">
                  <c:v>10245</c:v>
                </c:pt>
                <c:pt idx="101">
                  <c:v>10510</c:v>
                </c:pt>
                <c:pt idx="102">
                  <c:v>10960</c:v>
                </c:pt>
                <c:pt idx="103">
                  <c:v>10072.81</c:v>
                </c:pt>
                <c:pt idx="104">
                  <c:v>8600</c:v>
                </c:pt>
                <c:pt idx="105">
                  <c:v>8810.19</c:v>
                </c:pt>
                <c:pt idx="106">
                  <c:v>9150</c:v>
                </c:pt>
                <c:pt idx="107">
                  <c:v>9600</c:v>
                </c:pt>
                <c:pt idx="108">
                  <c:v>9900</c:v>
                </c:pt>
                <c:pt idx="109">
                  <c:v>10250</c:v>
                </c:pt>
                <c:pt idx="110">
                  <c:v>10500</c:v>
                </c:pt>
                <c:pt idx="111">
                  <c:v>10750</c:v>
                </c:pt>
                <c:pt idx="112">
                  <c:v>10900</c:v>
                </c:pt>
                <c:pt idx="113">
                  <c:v>10950.349999999999</c:v>
                </c:pt>
                <c:pt idx="114">
                  <c:v>11000</c:v>
                </c:pt>
                <c:pt idx="115">
                  <c:v>11050</c:v>
                </c:pt>
                <c:pt idx="116">
                  <c:v>9000</c:v>
                </c:pt>
                <c:pt idx="117">
                  <c:v>8950</c:v>
                </c:pt>
                <c:pt idx="118">
                  <c:v>9000</c:v>
                </c:pt>
                <c:pt idx="119">
                  <c:v>9050</c:v>
                </c:pt>
                <c:pt idx="120">
                  <c:v>9100</c:v>
                </c:pt>
                <c:pt idx="121">
                  <c:v>9150</c:v>
                </c:pt>
                <c:pt idx="122">
                  <c:v>9200</c:v>
                </c:pt>
                <c:pt idx="123">
                  <c:v>9250</c:v>
                </c:pt>
                <c:pt idx="124">
                  <c:v>9300</c:v>
                </c:pt>
                <c:pt idx="125">
                  <c:v>9250</c:v>
                </c:pt>
                <c:pt idx="126">
                  <c:v>9300</c:v>
                </c:pt>
                <c:pt idx="127">
                  <c:v>9400</c:v>
                </c:pt>
                <c:pt idx="128">
                  <c:v>9500</c:v>
                </c:pt>
                <c:pt idx="129">
                  <c:v>9600.0000000000018</c:v>
                </c:pt>
                <c:pt idx="130">
                  <c:v>9700</c:v>
                </c:pt>
                <c:pt idx="131">
                  <c:v>9800</c:v>
                </c:pt>
                <c:pt idx="132">
                  <c:v>9900</c:v>
                </c:pt>
                <c:pt idx="133">
                  <c:v>10000</c:v>
                </c:pt>
                <c:pt idx="134">
                  <c:v>10100</c:v>
                </c:pt>
                <c:pt idx="135">
                  <c:v>10200</c:v>
                </c:pt>
                <c:pt idx="136">
                  <c:v>10300</c:v>
                </c:pt>
                <c:pt idx="137">
                  <c:v>10400</c:v>
                </c:pt>
                <c:pt idx="138">
                  <c:v>10500</c:v>
                </c:pt>
                <c:pt idx="139">
                  <c:v>10600</c:v>
                </c:pt>
                <c:pt idx="140">
                  <c:v>10700</c:v>
                </c:pt>
                <c:pt idx="141">
                  <c:v>10800</c:v>
                </c:pt>
                <c:pt idx="142">
                  <c:v>10900</c:v>
                </c:pt>
                <c:pt idx="143">
                  <c:v>11000</c:v>
                </c:pt>
                <c:pt idx="144" formatCode="_(* #,##0.00_);_(* \(#,##0.00\);_(* &quot;-&quot;??_);_(@_)">
                  <c:v>11100</c:v>
                </c:pt>
                <c:pt idx="145" formatCode="_(* #,##0.00_);_(* \(#,##0.00\);_(* &quot;-&quot;??_);_(@_)">
                  <c:v>11200</c:v>
                </c:pt>
                <c:pt idx="146" formatCode="_(* #,##0.00_);_(* \(#,##0.00\);_(* &quot;-&quot;??_);_(@_)">
                  <c:v>11300</c:v>
                </c:pt>
                <c:pt idx="147" formatCode="_(* #,##0.00_);_(* \(#,##0.00\);_(* &quot;-&quot;??_);_(@_)">
                  <c:v>11400</c:v>
                </c:pt>
                <c:pt idx="148" formatCode="_(* #,##0.00_);_(* \(#,##0.00\);_(* &quot;-&quot;??_);_(@_)">
                  <c:v>11500</c:v>
                </c:pt>
                <c:pt idx="149" formatCode="_(* #,##0.00_);_(* \(#,##0.00\);_(* &quot;-&quot;??_);_(@_)">
                  <c:v>11600</c:v>
                </c:pt>
                <c:pt idx="150" formatCode="_(* #,##0.00_);_(* \(#,##0.00\);_(* &quot;-&quot;??_);_(@_)">
                  <c:v>0</c:v>
                </c:pt>
                <c:pt idx="151" formatCode="_(* #,##0.00_);_(* \(#,##0.00\);_(* &quot;-&quot;??_);_(@_)">
                  <c:v>0</c:v>
                </c:pt>
                <c:pt idx="152" formatCode="_(* #,##0.00_);_(* \(#,##0.00\);_(* &quot;-&quot;??_);_(@_)">
                  <c:v>0</c:v>
                </c:pt>
                <c:pt idx="153" formatCode="_(* #,##0.00_);_(* \(#,##0.00\);_(* &quot;-&quot;??_);_(@_)">
                  <c:v>0</c:v>
                </c:pt>
                <c:pt idx="154" formatCode="_(* #,##0.00_);_(* \(#,##0.00\);_(* &quot;-&quot;??_);_(@_)">
                  <c:v>0</c:v>
                </c:pt>
                <c:pt idx="155" formatCode="_(* #,##0.00_);_(* \(#,##0.0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6-4181-A268-8D9EDD2D8167}"/>
            </c:ext>
          </c:extLst>
        </c:ser>
        <c:ser>
          <c:idx val="2"/>
          <c:order val="2"/>
          <c:tx>
            <c:strRef>
              <c:f>Graph!$D$3</c:f>
              <c:strCache>
                <c:ptCount val="1"/>
                <c:pt idx="0">
                  <c:v> Savings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Graph!$A$4:$A$159</c:f>
              <c:numCache>
                <c:formatCode>mmm\-yy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44217</c:v>
                </c:pt>
                <c:pt idx="85">
                  <c:v>44248</c:v>
                </c:pt>
                <c:pt idx="86">
                  <c:v>44276</c:v>
                </c:pt>
                <c:pt idx="87">
                  <c:v>44307</c:v>
                </c:pt>
                <c:pt idx="88">
                  <c:v>44337</c:v>
                </c:pt>
                <c:pt idx="89">
                  <c:v>44368</c:v>
                </c:pt>
                <c:pt idx="90">
                  <c:v>44398</c:v>
                </c:pt>
                <c:pt idx="91">
                  <c:v>44429</c:v>
                </c:pt>
                <c:pt idx="92">
                  <c:v>44460</c:v>
                </c:pt>
                <c:pt idx="93">
                  <c:v>44490</c:v>
                </c:pt>
                <c:pt idx="94">
                  <c:v>44521</c:v>
                </c:pt>
                <c:pt idx="95">
                  <c:v>44551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Graph!$D$4:$D$159</c:f>
              <c:numCache>
                <c:formatCode>_(* #,##0.00_);_(* \(#,##0.00\);_(* "-"??_);_(@_)</c:formatCode>
                <c:ptCount val="156"/>
                <c:pt idx="0">
                  <c:v>10006.255000000001</c:v>
                </c:pt>
                <c:pt idx="1">
                  <c:v>9951.6049999999996</c:v>
                </c:pt>
                <c:pt idx="2">
                  <c:v>10747.5</c:v>
                </c:pt>
                <c:pt idx="3">
                  <c:v>10273.68</c:v>
                </c:pt>
                <c:pt idx="4">
                  <c:v>10694.02</c:v>
                </c:pt>
                <c:pt idx="5">
                  <c:v>10109.969999999999</c:v>
                </c:pt>
                <c:pt idx="6">
                  <c:v>11063.67</c:v>
                </c:pt>
                <c:pt idx="7">
                  <c:v>11204.09</c:v>
                </c:pt>
                <c:pt idx="8">
                  <c:v>10319.129999999999</c:v>
                </c:pt>
                <c:pt idx="9">
                  <c:v>9804.7099999999991</c:v>
                </c:pt>
                <c:pt idx="10">
                  <c:v>9288.4500000000007</c:v>
                </c:pt>
                <c:pt idx="11">
                  <c:v>9370.99</c:v>
                </c:pt>
                <c:pt idx="12">
                  <c:v>9866.77</c:v>
                </c:pt>
                <c:pt idx="13">
                  <c:v>8868.08</c:v>
                </c:pt>
                <c:pt idx="14">
                  <c:v>8800.08</c:v>
                </c:pt>
                <c:pt idx="15">
                  <c:v>9110.4</c:v>
                </c:pt>
                <c:pt idx="16">
                  <c:v>9359.4</c:v>
                </c:pt>
                <c:pt idx="17">
                  <c:v>9478.2000000000007</c:v>
                </c:pt>
                <c:pt idx="18">
                  <c:v>9699.619999999999</c:v>
                </c:pt>
                <c:pt idx="19">
                  <c:v>9537.07</c:v>
                </c:pt>
                <c:pt idx="20">
                  <c:v>9702.61</c:v>
                </c:pt>
                <c:pt idx="21">
                  <c:v>10049.27</c:v>
                </c:pt>
                <c:pt idx="22">
                  <c:v>10675.1</c:v>
                </c:pt>
                <c:pt idx="23">
                  <c:v>10888.1</c:v>
                </c:pt>
                <c:pt idx="24">
                  <c:v>11403.800000000001</c:v>
                </c:pt>
                <c:pt idx="25">
                  <c:v>11442.381020000001</c:v>
                </c:pt>
                <c:pt idx="26">
                  <c:v>11029.60102</c:v>
                </c:pt>
                <c:pt idx="27">
                  <c:v>11581.9</c:v>
                </c:pt>
                <c:pt idx="28">
                  <c:v>10608.47</c:v>
                </c:pt>
                <c:pt idx="29">
                  <c:v>11550.75</c:v>
                </c:pt>
                <c:pt idx="30">
                  <c:v>12479.630000000001</c:v>
                </c:pt>
                <c:pt idx="31">
                  <c:v>12659.63</c:v>
                </c:pt>
                <c:pt idx="32">
                  <c:v>13404.630000000001</c:v>
                </c:pt>
                <c:pt idx="33">
                  <c:v>14589.630000000001</c:v>
                </c:pt>
                <c:pt idx="34">
                  <c:v>15614.630000000001</c:v>
                </c:pt>
                <c:pt idx="35">
                  <c:v>15801.630000000001</c:v>
                </c:pt>
                <c:pt idx="36">
                  <c:v>16889.63</c:v>
                </c:pt>
                <c:pt idx="37">
                  <c:v>16027.630000000001</c:v>
                </c:pt>
                <c:pt idx="38">
                  <c:v>18499.63</c:v>
                </c:pt>
                <c:pt idx="39">
                  <c:v>19744.63</c:v>
                </c:pt>
                <c:pt idx="40">
                  <c:v>19884.63</c:v>
                </c:pt>
                <c:pt idx="41">
                  <c:v>20709.63</c:v>
                </c:pt>
                <c:pt idx="42">
                  <c:v>21708.75</c:v>
                </c:pt>
                <c:pt idx="43">
                  <c:v>20184</c:v>
                </c:pt>
                <c:pt idx="44">
                  <c:v>20815</c:v>
                </c:pt>
                <c:pt idx="45">
                  <c:v>24552.190000000002</c:v>
                </c:pt>
                <c:pt idx="46">
                  <c:v>24672.29</c:v>
                </c:pt>
                <c:pt idx="47">
                  <c:v>23016.29</c:v>
                </c:pt>
                <c:pt idx="48">
                  <c:v>24254.29</c:v>
                </c:pt>
                <c:pt idx="49">
                  <c:v>24985.29</c:v>
                </c:pt>
                <c:pt idx="50">
                  <c:v>27085.29</c:v>
                </c:pt>
                <c:pt idx="51">
                  <c:v>28235.29</c:v>
                </c:pt>
                <c:pt idx="52">
                  <c:v>28310.29</c:v>
                </c:pt>
                <c:pt idx="53">
                  <c:v>28185.29</c:v>
                </c:pt>
                <c:pt idx="54">
                  <c:v>28895.29</c:v>
                </c:pt>
                <c:pt idx="55">
                  <c:v>29470.29</c:v>
                </c:pt>
                <c:pt idx="56">
                  <c:v>28947.29</c:v>
                </c:pt>
                <c:pt idx="57">
                  <c:v>30085.29</c:v>
                </c:pt>
                <c:pt idx="58">
                  <c:v>30735.29</c:v>
                </c:pt>
                <c:pt idx="59">
                  <c:v>31410.29</c:v>
                </c:pt>
                <c:pt idx="60">
                  <c:v>32036.29</c:v>
                </c:pt>
                <c:pt idx="61">
                  <c:v>31526.29</c:v>
                </c:pt>
                <c:pt idx="62">
                  <c:v>33652.04</c:v>
                </c:pt>
                <c:pt idx="63">
                  <c:v>34977.06</c:v>
                </c:pt>
                <c:pt idx="64">
                  <c:v>41052.75</c:v>
                </c:pt>
                <c:pt idx="65">
                  <c:v>42377.75</c:v>
                </c:pt>
                <c:pt idx="66">
                  <c:v>39068.75</c:v>
                </c:pt>
                <c:pt idx="67">
                  <c:v>40156.75</c:v>
                </c:pt>
                <c:pt idx="68">
                  <c:v>41081.75</c:v>
                </c:pt>
                <c:pt idx="69">
                  <c:v>43865.9</c:v>
                </c:pt>
                <c:pt idx="70">
                  <c:v>44645.08</c:v>
                </c:pt>
                <c:pt idx="71">
                  <c:v>43453.9</c:v>
                </c:pt>
                <c:pt idx="72">
                  <c:v>43623.9</c:v>
                </c:pt>
                <c:pt idx="73">
                  <c:v>45745.9</c:v>
                </c:pt>
                <c:pt idx="74">
                  <c:v>46820.08</c:v>
                </c:pt>
                <c:pt idx="75">
                  <c:v>49594</c:v>
                </c:pt>
                <c:pt idx="76">
                  <c:v>57238</c:v>
                </c:pt>
                <c:pt idx="77">
                  <c:v>58963</c:v>
                </c:pt>
                <c:pt idx="78">
                  <c:v>60634.770000000004</c:v>
                </c:pt>
                <c:pt idx="79">
                  <c:v>60676.58</c:v>
                </c:pt>
                <c:pt idx="80">
                  <c:v>61577.58</c:v>
                </c:pt>
                <c:pt idx="81">
                  <c:v>63123.360000000001</c:v>
                </c:pt>
                <c:pt idx="82">
                  <c:v>53932.22</c:v>
                </c:pt>
                <c:pt idx="83">
                  <c:v>42043.91</c:v>
                </c:pt>
                <c:pt idx="84">
                  <c:v>42924.91</c:v>
                </c:pt>
                <c:pt idx="85">
                  <c:v>42164.91</c:v>
                </c:pt>
                <c:pt idx="86">
                  <c:v>46891.73</c:v>
                </c:pt>
                <c:pt idx="87">
                  <c:v>42824</c:v>
                </c:pt>
                <c:pt idx="88">
                  <c:v>42932.22</c:v>
                </c:pt>
                <c:pt idx="89">
                  <c:v>43957.22</c:v>
                </c:pt>
                <c:pt idx="90">
                  <c:v>44469.98</c:v>
                </c:pt>
                <c:pt idx="91">
                  <c:v>135439.03</c:v>
                </c:pt>
                <c:pt idx="92">
                  <c:v>124810.03</c:v>
                </c:pt>
                <c:pt idx="93">
                  <c:v>119636.41</c:v>
                </c:pt>
                <c:pt idx="94">
                  <c:v>133361.41</c:v>
                </c:pt>
                <c:pt idx="95">
                  <c:v>130315.36000000002</c:v>
                </c:pt>
                <c:pt idx="96">
                  <c:v>134313.16</c:v>
                </c:pt>
                <c:pt idx="97">
                  <c:v>139417.36000000002</c:v>
                </c:pt>
                <c:pt idx="98">
                  <c:v>144893.29</c:v>
                </c:pt>
                <c:pt idx="99">
                  <c:v>152098.29</c:v>
                </c:pt>
                <c:pt idx="100">
                  <c:v>156123.29</c:v>
                </c:pt>
                <c:pt idx="101">
                  <c:v>159848.29</c:v>
                </c:pt>
                <c:pt idx="102">
                  <c:v>158405.51</c:v>
                </c:pt>
                <c:pt idx="103">
                  <c:v>161735.51</c:v>
                </c:pt>
                <c:pt idx="104">
                  <c:v>168011.51</c:v>
                </c:pt>
                <c:pt idx="105">
                  <c:v>184830.51</c:v>
                </c:pt>
                <c:pt idx="106">
                  <c:v>190419.51</c:v>
                </c:pt>
                <c:pt idx="107">
                  <c:v>195419.25</c:v>
                </c:pt>
                <c:pt idx="108">
                  <c:v>201709.94</c:v>
                </c:pt>
                <c:pt idx="109">
                  <c:v>208837.65</c:v>
                </c:pt>
                <c:pt idx="110">
                  <c:v>213271.52</c:v>
                </c:pt>
                <c:pt idx="111">
                  <c:v>199875.09999999998</c:v>
                </c:pt>
                <c:pt idx="112">
                  <c:v>213870.71</c:v>
                </c:pt>
                <c:pt idx="113">
                  <c:v>211953.71</c:v>
                </c:pt>
                <c:pt idx="114">
                  <c:v>218423.75000000003</c:v>
                </c:pt>
                <c:pt idx="115">
                  <c:v>221721.4</c:v>
                </c:pt>
                <c:pt idx="116">
                  <c:v>234692.68</c:v>
                </c:pt>
                <c:pt idx="117">
                  <c:v>241665.75</c:v>
                </c:pt>
                <c:pt idx="118">
                  <c:v>251672.8</c:v>
                </c:pt>
                <c:pt idx="119">
                  <c:v>264362.8</c:v>
                </c:pt>
                <c:pt idx="120">
                  <c:v>256574.64</c:v>
                </c:pt>
                <c:pt idx="121">
                  <c:v>255793.64</c:v>
                </c:pt>
                <c:pt idx="122">
                  <c:v>266861.46000000002</c:v>
                </c:pt>
                <c:pt idx="123">
                  <c:v>284668.05</c:v>
                </c:pt>
                <c:pt idx="124">
                  <c:v>288218.75</c:v>
                </c:pt>
                <c:pt idx="125">
                  <c:v>273794.75</c:v>
                </c:pt>
                <c:pt idx="126">
                  <c:v>277085.62</c:v>
                </c:pt>
                <c:pt idx="127">
                  <c:v>298199.88999999996</c:v>
                </c:pt>
                <c:pt idx="128">
                  <c:v>292402.34999999998</c:v>
                </c:pt>
                <c:pt idx="129">
                  <c:v>306396.03999999998</c:v>
                </c:pt>
                <c:pt idx="130">
                  <c:v>302650.03999999998</c:v>
                </c:pt>
                <c:pt idx="131">
                  <c:v>303500.65999999997</c:v>
                </c:pt>
                <c:pt idx="132">
                  <c:v>314525.38</c:v>
                </c:pt>
                <c:pt idx="133">
                  <c:v>319186.73</c:v>
                </c:pt>
                <c:pt idx="134">
                  <c:v>325663.40999999997</c:v>
                </c:pt>
                <c:pt idx="135">
                  <c:v>315641.11</c:v>
                </c:pt>
                <c:pt idx="136">
                  <c:v>324179.11</c:v>
                </c:pt>
                <c:pt idx="137">
                  <c:v>330730.2</c:v>
                </c:pt>
                <c:pt idx="138">
                  <c:v>338061.2</c:v>
                </c:pt>
                <c:pt idx="139">
                  <c:v>346616.2</c:v>
                </c:pt>
                <c:pt idx="140">
                  <c:v>346996.32</c:v>
                </c:pt>
                <c:pt idx="141">
                  <c:v>353521.4</c:v>
                </c:pt>
                <c:pt idx="142">
                  <c:v>362682.02</c:v>
                </c:pt>
                <c:pt idx="143">
                  <c:v>362793.05000000005</c:v>
                </c:pt>
                <c:pt idx="144">
                  <c:v>370223.41000000003</c:v>
                </c:pt>
                <c:pt idx="145">
                  <c:v>378752.38</c:v>
                </c:pt>
                <c:pt idx="146">
                  <c:v>360237.54</c:v>
                </c:pt>
                <c:pt idx="147">
                  <c:v>364294.54</c:v>
                </c:pt>
                <c:pt idx="148">
                  <c:v>371476.45</c:v>
                </c:pt>
                <c:pt idx="149">
                  <c:v>365335.82999999996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46-4181-A268-8D9EDD2D8167}"/>
            </c:ext>
          </c:extLst>
        </c:ser>
        <c:ser>
          <c:idx val="3"/>
          <c:order val="3"/>
          <c:tx>
            <c:strRef>
              <c:f>Graph!$E$3</c:f>
              <c:strCache>
                <c:ptCount val="1"/>
                <c:pt idx="0">
                  <c:v> Investment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Graph!$A$4:$A$159</c:f>
              <c:numCache>
                <c:formatCode>mmm\-yy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44217</c:v>
                </c:pt>
                <c:pt idx="85">
                  <c:v>44248</c:v>
                </c:pt>
                <c:pt idx="86">
                  <c:v>44276</c:v>
                </c:pt>
                <c:pt idx="87">
                  <c:v>44307</c:v>
                </c:pt>
                <c:pt idx="88">
                  <c:v>44337</c:v>
                </c:pt>
                <c:pt idx="89">
                  <c:v>44368</c:v>
                </c:pt>
                <c:pt idx="90">
                  <c:v>44398</c:v>
                </c:pt>
                <c:pt idx="91">
                  <c:v>44429</c:v>
                </c:pt>
                <c:pt idx="92">
                  <c:v>44460</c:v>
                </c:pt>
                <c:pt idx="93">
                  <c:v>44490</c:v>
                </c:pt>
                <c:pt idx="94">
                  <c:v>44521</c:v>
                </c:pt>
                <c:pt idx="95">
                  <c:v>44551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Graph!$E$4:$E$159</c:f>
              <c:numCache>
                <c:formatCode>_(* #,##0.00_);_(* \(#,##0.00\);_(* "-"??_);_(@_)</c:formatCode>
                <c:ptCount val="156"/>
                <c:pt idx="0">
                  <c:v>10370.980000000001</c:v>
                </c:pt>
                <c:pt idx="1">
                  <c:v>11152.310000000001</c:v>
                </c:pt>
                <c:pt idx="2">
                  <c:v>11630.35</c:v>
                </c:pt>
                <c:pt idx="3">
                  <c:v>11758.36</c:v>
                </c:pt>
                <c:pt idx="4">
                  <c:v>12378.5</c:v>
                </c:pt>
                <c:pt idx="5">
                  <c:v>13018.01</c:v>
                </c:pt>
                <c:pt idx="6">
                  <c:v>13276.41</c:v>
                </c:pt>
                <c:pt idx="7">
                  <c:v>13778.630000000001</c:v>
                </c:pt>
                <c:pt idx="8">
                  <c:v>15307.5</c:v>
                </c:pt>
                <c:pt idx="9">
                  <c:v>15549.01</c:v>
                </c:pt>
                <c:pt idx="10">
                  <c:v>15892.47</c:v>
                </c:pt>
                <c:pt idx="11">
                  <c:v>16102.759999999998</c:v>
                </c:pt>
                <c:pt idx="12">
                  <c:v>16426.57</c:v>
                </c:pt>
                <c:pt idx="13">
                  <c:v>17002.849999999999</c:v>
                </c:pt>
                <c:pt idx="14">
                  <c:v>17584.84</c:v>
                </c:pt>
                <c:pt idx="15">
                  <c:v>17951.05</c:v>
                </c:pt>
                <c:pt idx="16">
                  <c:v>18342.900000000001</c:v>
                </c:pt>
                <c:pt idx="17">
                  <c:v>18668.900000000001</c:v>
                </c:pt>
                <c:pt idx="18">
                  <c:v>19256</c:v>
                </c:pt>
                <c:pt idx="19">
                  <c:v>19570.8</c:v>
                </c:pt>
                <c:pt idx="20">
                  <c:v>19905.25</c:v>
                </c:pt>
                <c:pt idx="21">
                  <c:v>20502.89</c:v>
                </c:pt>
                <c:pt idx="22">
                  <c:v>21049.39</c:v>
                </c:pt>
                <c:pt idx="23">
                  <c:v>21418.65</c:v>
                </c:pt>
                <c:pt idx="24">
                  <c:v>21803.629999999997</c:v>
                </c:pt>
                <c:pt idx="25">
                  <c:v>22180.82</c:v>
                </c:pt>
                <c:pt idx="26">
                  <c:v>22559.94</c:v>
                </c:pt>
                <c:pt idx="27">
                  <c:v>25010.190000000002</c:v>
                </c:pt>
                <c:pt idx="28">
                  <c:v>25509.15</c:v>
                </c:pt>
                <c:pt idx="29">
                  <c:v>25991.34</c:v>
                </c:pt>
                <c:pt idx="30">
                  <c:v>26961.539999999997</c:v>
                </c:pt>
                <c:pt idx="31">
                  <c:v>27750.309999999998</c:v>
                </c:pt>
                <c:pt idx="32">
                  <c:v>36283.24</c:v>
                </c:pt>
                <c:pt idx="33">
                  <c:v>37257.870000000003</c:v>
                </c:pt>
                <c:pt idx="34">
                  <c:v>37885.49</c:v>
                </c:pt>
                <c:pt idx="35">
                  <c:v>39132.800000000003</c:v>
                </c:pt>
                <c:pt idx="36">
                  <c:v>39641.56</c:v>
                </c:pt>
                <c:pt idx="37">
                  <c:v>44897.770000000004</c:v>
                </c:pt>
                <c:pt idx="38">
                  <c:v>45850.39</c:v>
                </c:pt>
                <c:pt idx="39">
                  <c:v>46630.070000000007</c:v>
                </c:pt>
                <c:pt idx="40">
                  <c:v>47613.19</c:v>
                </c:pt>
                <c:pt idx="41">
                  <c:v>48742.490000000005</c:v>
                </c:pt>
                <c:pt idx="42">
                  <c:v>49903.060000000005</c:v>
                </c:pt>
                <c:pt idx="43">
                  <c:v>52448.939999999995</c:v>
                </c:pt>
                <c:pt idx="44">
                  <c:v>53902.44</c:v>
                </c:pt>
                <c:pt idx="45">
                  <c:v>54991.77</c:v>
                </c:pt>
                <c:pt idx="46">
                  <c:v>56235.509999999995</c:v>
                </c:pt>
                <c:pt idx="47">
                  <c:v>56944.039999999994</c:v>
                </c:pt>
                <c:pt idx="48">
                  <c:v>60297.000000000007</c:v>
                </c:pt>
                <c:pt idx="49">
                  <c:v>61190.17</c:v>
                </c:pt>
                <c:pt idx="50">
                  <c:v>60783.7</c:v>
                </c:pt>
                <c:pt idx="51">
                  <c:v>61625.549999999996</c:v>
                </c:pt>
                <c:pt idx="52">
                  <c:v>62746.939999999995</c:v>
                </c:pt>
                <c:pt idx="53">
                  <c:v>63851.899999999994</c:v>
                </c:pt>
                <c:pt idx="54">
                  <c:v>64937.89</c:v>
                </c:pt>
                <c:pt idx="55">
                  <c:v>66284.69</c:v>
                </c:pt>
                <c:pt idx="56">
                  <c:v>67573.179999999993</c:v>
                </c:pt>
                <c:pt idx="57">
                  <c:v>67883.349999999991</c:v>
                </c:pt>
                <c:pt idx="58">
                  <c:v>68061.37</c:v>
                </c:pt>
                <c:pt idx="59">
                  <c:v>68405.34</c:v>
                </c:pt>
                <c:pt idx="60">
                  <c:v>67614.989999999991</c:v>
                </c:pt>
                <c:pt idx="61">
                  <c:v>75922.209999999992</c:v>
                </c:pt>
                <c:pt idx="62">
                  <c:v>77608.83</c:v>
                </c:pt>
                <c:pt idx="63">
                  <c:v>78203.240000000005</c:v>
                </c:pt>
                <c:pt idx="64">
                  <c:v>77145.97</c:v>
                </c:pt>
                <c:pt idx="65">
                  <c:v>79648.100000000006</c:v>
                </c:pt>
                <c:pt idx="66">
                  <c:v>84188.810000000012</c:v>
                </c:pt>
                <c:pt idx="67">
                  <c:v>81296.850000000006</c:v>
                </c:pt>
                <c:pt idx="68">
                  <c:v>83247.220000000016</c:v>
                </c:pt>
                <c:pt idx="69">
                  <c:v>86109.85</c:v>
                </c:pt>
                <c:pt idx="70">
                  <c:v>86845.85</c:v>
                </c:pt>
                <c:pt idx="71">
                  <c:v>88033.880000000019</c:v>
                </c:pt>
                <c:pt idx="72">
                  <c:v>95097.19</c:v>
                </c:pt>
                <c:pt idx="73">
                  <c:v>95032.38</c:v>
                </c:pt>
                <c:pt idx="74">
                  <c:v>97324.03</c:v>
                </c:pt>
                <c:pt idx="75">
                  <c:v>97270.75</c:v>
                </c:pt>
                <c:pt idx="76">
                  <c:v>104183.39000000001</c:v>
                </c:pt>
                <c:pt idx="77">
                  <c:v>106217.15000000001</c:v>
                </c:pt>
                <c:pt idx="78">
                  <c:v>111950.37000000001</c:v>
                </c:pt>
                <c:pt idx="79">
                  <c:v>117132.92000000001</c:v>
                </c:pt>
                <c:pt idx="80">
                  <c:v>118445.04000000001</c:v>
                </c:pt>
                <c:pt idx="81">
                  <c:v>121089.64000000001</c:v>
                </c:pt>
                <c:pt idx="82">
                  <c:v>130619.78</c:v>
                </c:pt>
                <c:pt idx="83">
                  <c:v>135753.06</c:v>
                </c:pt>
                <c:pt idx="84">
                  <c:v>154795.5</c:v>
                </c:pt>
                <c:pt idx="85">
                  <c:v>162271.44</c:v>
                </c:pt>
                <c:pt idx="86">
                  <c:v>165610.91</c:v>
                </c:pt>
                <c:pt idx="87">
                  <c:v>180282.33</c:v>
                </c:pt>
                <c:pt idx="88">
                  <c:v>187070.19999999998</c:v>
                </c:pt>
                <c:pt idx="89">
                  <c:v>188566.16999999998</c:v>
                </c:pt>
                <c:pt idx="90">
                  <c:v>191909.58</c:v>
                </c:pt>
                <c:pt idx="91">
                  <c:v>198857.88999999998</c:v>
                </c:pt>
                <c:pt idx="92">
                  <c:v>197026.88999999998</c:v>
                </c:pt>
                <c:pt idx="93">
                  <c:v>214011.21</c:v>
                </c:pt>
                <c:pt idx="94">
                  <c:v>220938.21</c:v>
                </c:pt>
                <c:pt idx="95">
                  <c:v>224376.38</c:v>
                </c:pt>
                <c:pt idx="96">
                  <c:v>232110.63</c:v>
                </c:pt>
                <c:pt idx="97">
                  <c:v>234266.40000000002</c:v>
                </c:pt>
                <c:pt idx="98">
                  <c:v>236029.63</c:v>
                </c:pt>
                <c:pt idx="99">
                  <c:v>292132.53999999998</c:v>
                </c:pt>
                <c:pt idx="100">
                  <c:v>294805.74</c:v>
                </c:pt>
                <c:pt idx="101">
                  <c:v>296352.57</c:v>
                </c:pt>
                <c:pt idx="102">
                  <c:v>298806.63</c:v>
                </c:pt>
                <c:pt idx="103">
                  <c:v>300558.64</c:v>
                </c:pt>
                <c:pt idx="104">
                  <c:v>301767.69</c:v>
                </c:pt>
                <c:pt idx="105">
                  <c:v>304112.42000000004</c:v>
                </c:pt>
                <c:pt idx="106">
                  <c:v>307187.99000000005</c:v>
                </c:pt>
                <c:pt idx="107">
                  <c:v>308396.58</c:v>
                </c:pt>
                <c:pt idx="108">
                  <c:v>307748.71000000002</c:v>
                </c:pt>
                <c:pt idx="109">
                  <c:v>309903.92000000004</c:v>
                </c:pt>
                <c:pt idx="110">
                  <c:v>311024.82</c:v>
                </c:pt>
                <c:pt idx="111">
                  <c:v>311357.49000000005</c:v>
                </c:pt>
                <c:pt idx="112">
                  <c:v>316141.93</c:v>
                </c:pt>
                <c:pt idx="113">
                  <c:v>329233.80000000005</c:v>
                </c:pt>
                <c:pt idx="114">
                  <c:v>330855.76</c:v>
                </c:pt>
                <c:pt idx="115">
                  <c:v>330738.69</c:v>
                </c:pt>
                <c:pt idx="116">
                  <c:v>331337.96000000002</c:v>
                </c:pt>
                <c:pt idx="117">
                  <c:v>330802.64</c:v>
                </c:pt>
                <c:pt idx="118">
                  <c:v>336437.62</c:v>
                </c:pt>
                <c:pt idx="119">
                  <c:v>344897.06</c:v>
                </c:pt>
                <c:pt idx="120">
                  <c:v>361674.16000000003</c:v>
                </c:pt>
                <c:pt idx="121">
                  <c:v>396431.19</c:v>
                </c:pt>
                <c:pt idx="122">
                  <c:v>411893.05000000005</c:v>
                </c:pt>
                <c:pt idx="123">
                  <c:v>412354.03</c:v>
                </c:pt>
                <c:pt idx="124">
                  <c:v>420780.04000000004</c:v>
                </c:pt>
                <c:pt idx="125">
                  <c:v>419423.82</c:v>
                </c:pt>
                <c:pt idx="126">
                  <c:v>424405.48</c:v>
                </c:pt>
                <c:pt idx="127">
                  <c:v>434376.42</c:v>
                </c:pt>
                <c:pt idx="128">
                  <c:v>426818.17</c:v>
                </c:pt>
                <c:pt idx="129">
                  <c:v>428845.93</c:v>
                </c:pt>
                <c:pt idx="130">
                  <c:v>471677.63</c:v>
                </c:pt>
                <c:pt idx="131">
                  <c:v>468075.75</c:v>
                </c:pt>
                <c:pt idx="132">
                  <c:v>483129.05</c:v>
                </c:pt>
                <c:pt idx="133">
                  <c:v>488537.81</c:v>
                </c:pt>
                <c:pt idx="134">
                  <c:v>488993.76</c:v>
                </c:pt>
                <c:pt idx="135">
                  <c:v>516021.45</c:v>
                </c:pt>
                <c:pt idx="136">
                  <c:v>519002.57</c:v>
                </c:pt>
                <c:pt idx="137">
                  <c:v>539355.80000000005</c:v>
                </c:pt>
                <c:pt idx="138">
                  <c:v>588389.12</c:v>
                </c:pt>
                <c:pt idx="139">
                  <c:v>594162.82999999996</c:v>
                </c:pt>
                <c:pt idx="140">
                  <c:v>625107.78</c:v>
                </c:pt>
                <c:pt idx="141">
                  <c:v>666677.96</c:v>
                </c:pt>
                <c:pt idx="142">
                  <c:v>667074.30000000005</c:v>
                </c:pt>
                <c:pt idx="143">
                  <c:v>677754.3</c:v>
                </c:pt>
                <c:pt idx="144">
                  <c:v>702600.9</c:v>
                </c:pt>
                <c:pt idx="145">
                  <c:v>708762.86</c:v>
                </c:pt>
                <c:pt idx="146">
                  <c:v>709537.58</c:v>
                </c:pt>
                <c:pt idx="147">
                  <c:v>730789.48</c:v>
                </c:pt>
                <c:pt idx="148">
                  <c:v>745716.92</c:v>
                </c:pt>
                <c:pt idx="149">
                  <c:v>745716.92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46-4181-A268-8D9EDD2D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889632"/>
        <c:axId val="568945568"/>
      </c:lineChart>
      <c:dateAx>
        <c:axId val="795889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45568"/>
        <c:crosses val="autoZero"/>
        <c:auto val="1"/>
        <c:lblOffset val="100"/>
        <c:baseTimeUnit val="days"/>
      </c:dateAx>
      <c:valAx>
        <c:axId val="5689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8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Graph!$G$3</c:f>
              <c:strCache>
                <c:ptCount val="1"/>
                <c:pt idx="0">
                  <c:v> Change %
YoY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Graph!$A$4:$A$147</c:f>
              <c:numCache>
                <c:formatCode>mmm\-yy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44217</c:v>
                </c:pt>
                <c:pt idx="85">
                  <c:v>44248</c:v>
                </c:pt>
                <c:pt idx="86">
                  <c:v>44276</c:v>
                </c:pt>
                <c:pt idx="87">
                  <c:v>44307</c:v>
                </c:pt>
                <c:pt idx="88">
                  <c:v>44337</c:v>
                </c:pt>
                <c:pt idx="89">
                  <c:v>44368</c:v>
                </c:pt>
                <c:pt idx="90">
                  <c:v>44398</c:v>
                </c:pt>
                <c:pt idx="91">
                  <c:v>44429</c:v>
                </c:pt>
                <c:pt idx="92">
                  <c:v>44460</c:v>
                </c:pt>
                <c:pt idx="93">
                  <c:v>44490</c:v>
                </c:pt>
                <c:pt idx="94">
                  <c:v>44521</c:v>
                </c:pt>
                <c:pt idx="95">
                  <c:v>44551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Graph!$G$4:$G$147</c:f>
              <c:numCache>
                <c:formatCode>0.00%</c:formatCode>
                <c:ptCount val="144"/>
                <c:pt idx="11">
                  <c:v>0.25750466822408852</c:v>
                </c:pt>
                <c:pt idx="23">
                  <c:v>0.21423722672538428</c:v>
                </c:pt>
                <c:pt idx="35">
                  <c:v>0.62823732932035015</c:v>
                </c:pt>
                <c:pt idx="47">
                  <c:v>0.40381165401992564</c:v>
                </c:pt>
                <c:pt idx="59">
                  <c:v>0.1796961228499214</c:v>
                </c:pt>
                <c:pt idx="71">
                  <c:v>0.31230569188731355</c:v>
                </c:pt>
                <c:pt idx="83">
                  <c:v>0.27638679280025935</c:v>
                </c:pt>
                <c:pt idx="95">
                  <c:v>0.7800660697290801</c:v>
                </c:pt>
                <c:pt idx="107">
                  <c:v>0.37095586830460303</c:v>
                </c:pt>
                <c:pt idx="119">
                  <c:v>0.19052577635897652</c:v>
                </c:pt>
                <c:pt idx="131">
                  <c:v>0.24552148661159448</c:v>
                </c:pt>
                <c:pt idx="143">
                  <c:v>0.30213804907243241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C3-4510-96C5-0EBF5A83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783111"/>
        <c:axId val="1628785159"/>
      </c:barChart>
      <c:dateAx>
        <c:axId val="16287831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785159"/>
        <c:crosses val="autoZero"/>
        <c:auto val="1"/>
        <c:lblOffset val="100"/>
        <c:baseTimeUnit val="years"/>
        <c:majorUnit val="1"/>
        <c:majorTimeUnit val="years"/>
        <c:minorUnit val="1"/>
        <c:minorTimeUnit val="months"/>
      </c:dateAx>
      <c:valAx>
        <c:axId val="1628785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78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428625</xdr:colOff>
      <xdr:row>32</xdr:row>
      <xdr:rowOff>19050</xdr:rowOff>
    </xdr:from>
    <xdr:to>
      <xdr:col>30</xdr:col>
      <xdr:colOff>76200</xdr:colOff>
      <xdr:row>66</xdr:row>
      <xdr:rowOff>19050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32</xdr:row>
      <xdr:rowOff>76200</xdr:rowOff>
    </xdr:from>
    <xdr:to>
      <xdr:col>20</xdr:col>
      <xdr:colOff>276225</xdr:colOff>
      <xdr:row>66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13D346-E60D-4459-95AD-A85B087BD80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95250</xdr:colOff>
      <xdr:row>68</xdr:row>
      <xdr:rowOff>114300</xdr:rowOff>
    </xdr:from>
    <xdr:to>
      <xdr:col>19</xdr:col>
      <xdr:colOff>485775</xdr:colOff>
      <xdr:row>91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D8D8F-E1C6-EADD-A6BC-C5EE46946117}"/>
            </a:ext>
            <a:ext uri="{147F2762-F138-4A5C-976F-8EAC2B608ADB}">
              <a16:predDERef xmlns:a16="http://schemas.microsoft.com/office/drawing/2014/main" pred="{6D13D346-E60D-4459-95AD-A85B087BD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620228125001" createdVersion="6" refreshedVersion="8" minRefreshableVersion="3" recordCount="22" xr:uid="{0397A93F-4678-40C6-9126-5D1236DCA4D2}">
  <cacheSource type="worksheet">
    <worksheetSource ref="I3:V25" sheet="Graph"/>
  </cacheSource>
  <cacheFields count="14">
    <cacheField name="Category" numFmtId="0">
      <sharedItems count="23">
        <s v="Cable"/>
        <s v="Car Insurance"/>
        <s v="Cleaners"/>
        <s v="Clothes"/>
        <s v="Utilities"/>
        <s v="Dining"/>
        <s v="Entertainment"/>
        <s v="Gas"/>
        <s v="Gifts"/>
        <s v="Grocery"/>
        <s v="Gym"/>
        <s v="Loan"/>
        <s v="Misc"/>
        <s v="Offering"/>
        <s v="Rent"/>
        <s v="Travel"/>
        <s v="Parents"/>
        <s v="Car"/>
        <s v="House"/>
        <s v="School"/>
        <s v="Baby Sitter"/>
        <s v="Total"/>
        <s v="Compassion" u="1"/>
      </sharedItems>
    </cacheField>
    <cacheField name="2014" numFmtId="43">
      <sharedItems containsSemiMixedTypes="0" containsString="0" containsNumber="1" minValue="0" maxValue="35399.345500000003"/>
    </cacheField>
    <cacheField name="2015" numFmtId="43">
      <sharedItems containsSemiMixedTypes="0" containsString="0" containsNumber="1" minValue="0" maxValue="33810"/>
    </cacheField>
    <cacheField name="2016" numFmtId="43">
      <sharedItems containsSemiMixedTypes="0" containsString="0" containsNumber="1" minValue="0" maxValue="33330.288979999998"/>
    </cacheField>
    <cacheField name="2017" numFmtId="43">
      <sharedItems containsSemiMixedTypes="0" containsString="0" containsNumber="1" minValue="0" maxValue="42343.479000000007"/>
    </cacheField>
    <cacheField name="2018" numFmtId="43">
      <sharedItems containsSemiMixedTypes="0" containsString="0" containsNumber="1" minValue="0" maxValue="48629.08"/>
    </cacheField>
    <cacheField name="2019" numFmtId="43">
      <sharedItems containsSemiMixedTypes="0" containsString="0" containsNumber="1" minValue="0" maxValue="57314.43"/>
    </cacheField>
    <cacheField name="2020" numFmtId="43">
      <sharedItems containsSemiMixedTypes="0" containsString="0" containsNumber="1" minValue="0" maxValue="61641.51666666667"/>
    </cacheField>
    <cacheField name="2021" numFmtId="43">
      <sharedItems containsSemiMixedTypes="0" containsString="0" containsNumber="1" minValue="0" maxValue="66956.63"/>
    </cacheField>
    <cacheField name="2022" numFmtId="43">
      <sharedItems containsSemiMixedTypes="0" containsString="0" containsNumber="1" minValue="0" maxValue="111005.54000000001"/>
    </cacheField>
    <cacheField name="2023" numFmtId="43">
      <sharedItems containsSemiMixedTypes="0" containsString="0" containsNumber="1" minValue="0" maxValue="133309.91999999998"/>
    </cacheField>
    <cacheField name="2024" numFmtId="43">
      <sharedItems containsSemiMixedTypes="0" containsString="0" containsNumber="1" minValue="0" maxValue="178085.14999999997"/>
    </cacheField>
    <cacheField name="2025" numFmtId="43">
      <sharedItems containsSemiMixedTypes="0" containsString="0" containsNumber="1" minValue="0" maxValue="160182.52000000002"/>
    </cacheField>
    <cacheField name="2026" numFmtId="43">
      <sharedItems containsSemiMixedTypes="0" containsString="0" containsNumber="1" containsInteger="1" minValue="0" maxValue="58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851.91000000000008"/>
    <n v="987.32"/>
    <n v="1197.49"/>
    <n v="1543.82"/>
    <n v="2034.95"/>
    <n v="1970.2500000000002"/>
    <n v="3356.2"/>
    <n v="3292.7799999999997"/>
    <n v="3440.2799999999997"/>
    <n v="2037.1999999999998"/>
    <n v="3993.9400000000005"/>
    <n v="4846.57"/>
    <n v="20"/>
  </r>
  <r>
    <x v="1"/>
    <n v="927.31000000000006"/>
    <n v="495.80999999999995"/>
    <n v="664"/>
    <n v="725.62"/>
    <n v="806.4"/>
    <n v="862.29"/>
    <n v="812.38"/>
    <n v="1736.44"/>
    <n v="1845.0500000000002"/>
    <n v="2349.59"/>
    <n v="4515"/>
    <n v="4026.4700000000003"/>
    <n v="0"/>
  </r>
  <r>
    <x v="2"/>
    <n v="96.56"/>
    <n v="91"/>
    <n v="20"/>
    <n v="0"/>
    <n v="0"/>
    <n v="0"/>
    <n v="0"/>
    <n v="0"/>
    <n v="0"/>
    <n v="0"/>
    <n v="0"/>
    <n v="0"/>
    <n v="0"/>
  </r>
  <r>
    <x v="3"/>
    <n v="1332.7"/>
    <n v="116.71"/>
    <n v="258.73"/>
    <n v="819.96"/>
    <n v="557.72"/>
    <n v="317"/>
    <n v="322"/>
    <n v="709"/>
    <n v="883"/>
    <n v="1865.7"/>
    <n v="3446.48"/>
    <n v="3322.58"/>
    <n v="0"/>
  </r>
  <r>
    <x v="4"/>
    <n v="0"/>
    <n v="0"/>
    <n v="0"/>
    <n v="0"/>
    <n v="0"/>
    <n v="0"/>
    <n v="0"/>
    <n v="277.75"/>
    <n v="4044.92"/>
    <n v="7082.98"/>
    <n v="8422.68"/>
    <n v="8054.25"/>
    <n v="0"/>
  </r>
  <r>
    <x v="5"/>
    <n v="7007.2949999999992"/>
    <n v="4867.59"/>
    <n v="7576.9400000000005"/>
    <n v="9145.1889999999985"/>
    <n v="7811.3600000000006"/>
    <n v="9042.619999999999"/>
    <n v="7226.4800000000005"/>
    <n v="6448.9900000000007"/>
    <n v="10189.09"/>
    <n v="15350.630000000001"/>
    <n v="16817.09"/>
    <n v="18139.490000000002"/>
    <n v="287"/>
  </r>
  <r>
    <x v="6"/>
    <n v="589.01"/>
    <n v="1280.43"/>
    <n v="2038.2"/>
    <n v="3337.8600000000006"/>
    <n v="2322"/>
    <n v="3807.9700000000003"/>
    <n v="2895.82"/>
    <n v="2035.44"/>
    <n v="3210.96"/>
    <n v="2512"/>
    <n v="4405"/>
    <n v="4789.0200000000004"/>
    <n v="0"/>
  </r>
  <r>
    <x v="7"/>
    <n v="2440.2404999999999"/>
    <n v="1967.5500000000002"/>
    <n v="2032.52"/>
    <n v="2661.15"/>
    <n v="2767.3900000000003"/>
    <n v="2393.9300000000003"/>
    <n v="1819.54"/>
    <n v="3552.42"/>
    <n v="5292.16"/>
    <n v="2735.74"/>
    <n v="2230.6800000000003"/>
    <n v="2605.1"/>
    <n v="0"/>
  </r>
  <r>
    <x v="8"/>
    <n v="431.15999999999997"/>
    <n v="1026.8"/>
    <n v="320"/>
    <n v="1446.25"/>
    <n v="1912"/>
    <n v="2816.02"/>
    <n v="4201.05"/>
    <n v="2303.89"/>
    <n v="4561.3"/>
    <n v="4085.8100000000004"/>
    <n v="7078.0599999999995"/>
    <n v="3429"/>
    <n v="0"/>
  </r>
  <r>
    <x v="9"/>
    <n v="622.86999999999989"/>
    <n v="844.37"/>
    <n v="1296.9989799999998"/>
    <n v="2195.0599999999995"/>
    <n v="1338.21"/>
    <n v="4714.05"/>
    <n v="4736.63"/>
    <n v="5762.05"/>
    <n v="9675.2000000000007"/>
    <n v="11091.32"/>
    <n v="14672.909999999998"/>
    <n v="13428.26"/>
    <n v="626"/>
  </r>
  <r>
    <x v="10"/>
    <n v="275.92999999999995"/>
    <n v="0"/>
    <n v="525.21"/>
    <n v="1035.99"/>
    <n v="1092"/>
    <n v="1135.78"/>
    <n v="585.66"/>
    <n v="1449.76"/>
    <n v="2210.21"/>
    <n v="1559"/>
    <n v="2664.8"/>
    <n v="1858"/>
    <n v="0"/>
  </r>
  <r>
    <x v="11"/>
    <n v="10860.309999999998"/>
    <n v="8088.87"/>
    <n v="3286.7799999999997"/>
    <n v="0"/>
    <n v="0"/>
    <n v="0"/>
    <n v="0"/>
    <n v="0"/>
    <n v="0"/>
    <n v="3042"/>
    <n v="0"/>
    <n v="0"/>
    <n v="0"/>
  </r>
  <r>
    <x v="12"/>
    <n v="2230.39"/>
    <n v="2452.7200000000003"/>
    <n v="1760.55"/>
    <n v="2736.42"/>
    <n v="5846.8099999999995"/>
    <n v="7540.08"/>
    <n v="3321.9"/>
    <n v="5192.6400000000003"/>
    <n v="10567.66"/>
    <n v="15194.14"/>
    <n v="8684.5300000000007"/>
    <n v="8066.3799999999992"/>
    <n v="0"/>
  </r>
  <r>
    <x v="13"/>
    <n v="785.92000000000007"/>
    <n v="937.36"/>
    <n v="878.05"/>
    <n v="1666.15"/>
    <n v="1440"/>
    <n v="1552.6399999999999"/>
    <n v="1817"/>
    <n v="1402.21"/>
    <n v="2129"/>
    <n v="4066"/>
    <n v="5273"/>
    <n v="8410"/>
    <n v="456"/>
  </r>
  <r>
    <x v="14"/>
    <n v="6436.9400000000005"/>
    <n v="10040.33"/>
    <n v="8503.9700000000012"/>
    <n v="8283.08"/>
    <n v="11107.76"/>
    <n v="9917.18"/>
    <n v="16928.246666666666"/>
    <n v="10437.129999999999"/>
    <n v="33954.519999999997"/>
    <n v="36146.49"/>
    <n v="50666"/>
    <n v="48773"/>
    <n v="4134"/>
  </r>
  <r>
    <x v="15"/>
    <n v="472.98"/>
    <n v="345.32"/>
    <n v="1280.54"/>
    <n v="1057.97"/>
    <n v="5707.71"/>
    <n v="6035.42"/>
    <n v="816"/>
    <n v="10424.68"/>
    <n v="10431"/>
    <n v="11718.75"/>
    <n v="13939"/>
    <n v="4603.3"/>
    <n v="0"/>
  </r>
  <r>
    <x v="16"/>
    <n v="0"/>
    <n v="0"/>
    <n v="1153.27"/>
    <n v="1769.96"/>
    <n v="3186.91"/>
    <n v="2725.69"/>
    <n v="2409.61"/>
    <n v="4132.62"/>
    <n v="1959"/>
    <n v="4032"/>
    <n v="8401"/>
    <n v="9116"/>
    <n v="200"/>
  </r>
  <r>
    <x v="17"/>
    <n v="37.82"/>
    <n v="267.82"/>
    <n v="537.04"/>
    <n v="262"/>
    <n v="612"/>
    <n v="266.51"/>
    <n v="10393"/>
    <n v="4361.26"/>
    <n v="3532"/>
    <n v="3311"/>
    <n v="1793"/>
    <n v="2322"/>
    <n v="0"/>
  </r>
  <r>
    <x v="18"/>
    <n v="0"/>
    <n v="0"/>
    <n v="0"/>
    <n v="0"/>
    <n v="0"/>
    <n v="0"/>
    <n v="0"/>
    <n v="3437.57"/>
    <n v="3080.19"/>
    <n v="5129.57"/>
    <n v="14326.18"/>
    <n v="3911.1"/>
    <n v="144"/>
  </r>
  <r>
    <x v="19"/>
    <n v="0"/>
    <n v="0"/>
    <n v="0"/>
    <n v="3657"/>
    <n v="85.86"/>
    <n v="2217"/>
    <n v="0"/>
    <n v="0"/>
    <n v="0"/>
    <n v="0"/>
    <n v="2421.8000000000002"/>
    <n v="3036"/>
    <n v="0"/>
  </r>
  <r>
    <x v="20"/>
    <n v="0"/>
    <n v="0"/>
    <n v="0"/>
    <n v="0"/>
    <n v="0"/>
    <n v="0"/>
    <n v="0"/>
    <n v="0"/>
    <n v="0"/>
    <n v="0"/>
    <n v="4334"/>
    <n v="7446"/>
    <n v="880"/>
  </r>
  <r>
    <x v="21"/>
    <n v="35399.345500000003"/>
    <n v="33810"/>
    <n v="33330.288979999998"/>
    <n v="42343.479000000007"/>
    <n v="48629.08"/>
    <n v="57314.43"/>
    <n v="61641.51666666667"/>
    <n v="66956.63"/>
    <n v="111005.54000000001"/>
    <n v="133309.91999999998"/>
    <n v="178085.14999999997"/>
    <n v="160182.52000000002"/>
    <n v="58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42FED-8069-432B-BF19-28E55B79A2A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4">
  <location ref="I29:U30" firstHeaderRow="0" firstDataRow="1" firstDataCol="0" rowPageCount="1" colPageCount="1"/>
  <pivotFields count="14">
    <pivotField axis="axisPage" multipleItemSelectionAllowed="1" showAll="0">
      <items count="24">
        <item h="1" x="0"/>
        <item h="1" x="17"/>
        <item h="1" x="1"/>
        <item h="1" x="2"/>
        <item h="1" x="3"/>
        <item m="1" x="22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6"/>
        <item h="1" x="14"/>
        <item h="1" x="19"/>
        <item x="21"/>
        <item h="1" x="15"/>
        <item h="1" x="4"/>
        <item h="1" x="18"/>
        <item h="1" x="20"/>
        <item t="default"/>
      </items>
    </pivotField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 defaultSubtota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Items count="1">
    <i/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Sum of 2014" fld="1" baseField="0" baseItem="0"/>
    <dataField name="Sum of 2015" fld="2" baseField="0" baseItem="0"/>
    <dataField name="Sum of 2016" fld="3" baseField="0" baseItem="0"/>
    <dataField name="Sum of 2017" fld="4" baseField="0" baseItem="0"/>
    <dataField name="Sum of 2018" fld="5" baseField="0" baseItem="0"/>
    <dataField name="Sum of 2019" fld="6" baseField="0" baseItem="0"/>
    <dataField name="Sum of 2020" fld="7" baseField="0" baseItem="0"/>
    <dataField name="Sum of 2021" fld="8" baseField="0" baseItem="0"/>
    <dataField name="Sum of 2022" fld="9" baseField="0" baseItem="0"/>
    <dataField name="Sum of 2023" fld="10" baseField="0" baseItem="0"/>
    <dataField name="Sum of 2024" fld="11" baseField="0" baseItem="0"/>
    <dataField name="Sum of 2025" fld="12" baseField="0" baseItem="0"/>
    <dataField name="Sum of 2026" fld="13" baseField="0" baseItem="0" numFmtId="43"/>
  </dataFields>
  <formats count="1">
    <format dxfId="23">
      <pivotArea outline="0" collapsedLevelsAreSubtotals="1" fieldPosition="0"/>
    </format>
  </formats>
  <chartFormats count="22">
    <chartFormat chart="0" format="20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20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0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0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20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20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2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10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211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212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213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214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17B8E-EA43-4CA9-A011-A14BD5D774AD}" name="Table1" displayName="Table1" ref="A3:G159" totalsRowShown="0" headerRowDxfId="22" tableBorderDxfId="21" headerRowCellStyle="Comma">
  <autoFilter ref="A3:G159" xr:uid="{0ED17B8E-EA43-4CA9-A011-A14BD5D774AD}"/>
  <tableColumns count="7">
    <tableColumn id="1" xr3:uid="{C4D1F755-8F3D-418F-9A67-035A5EA5EE64}" name="Month " dataDxfId="20"/>
    <tableColumn id="2" xr3:uid="{311F370A-7336-41BD-927B-FAC15375843F}" name="Net " dataDxfId="19" dataCellStyle="Comma"/>
    <tableColumn id="3" xr3:uid="{023A8568-1A08-4E7B-8113-8A60369F2B2D}" name="Checking" dataDxfId="18" dataCellStyle="Comma"/>
    <tableColumn id="4" xr3:uid="{38E93231-72A2-4DA1-ACEC-B45516748172}" name="Savings" dataDxfId="17" dataCellStyle="Comma"/>
    <tableColumn id="5" xr3:uid="{00D2478B-B070-42A6-8D05-73A038F6A1DD}" name="Investment" dataDxfId="16" dataCellStyle="Comma"/>
    <tableColumn id="6" xr3:uid="{D624BB11-D280-4438-855E-09410CB48F56}" name="Change %_x000a_MoM" dataDxfId="15" dataCellStyle="Comma">
      <calculatedColumnFormula>(B5-B4)/B4</calculatedColumnFormula>
    </tableColumn>
    <tableColumn id="7" xr3:uid="{CB99D6FC-490F-47DF-AB1A-90FC362FFB3D}" name="Change %_x000a_YoY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04FF93-0ABF-4EBE-B2EA-87539C6F50EF}" name="Table23" displayName="Table23" ref="A3:D13" totalsRowShown="0" headerRowDxfId="13" dataDxfId="12" headerRowBorderDxfId="11">
  <autoFilter ref="A3:D13" xr:uid="{A904FF93-0ABF-4EBE-B2EA-87539C6F50EF}"/>
  <tableColumns count="4">
    <tableColumn id="1" xr3:uid="{2A9A741E-AE06-42C1-9684-F4C09E97F2FD}" name="Date" dataDxfId="10"/>
    <tableColumn id="2" xr3:uid="{E9FCE1EA-5197-45CC-A2AE-810588BFED00}" name="From" dataDxfId="9"/>
    <tableColumn id="3" xr3:uid="{609FA949-28B4-4A77-8C4C-C6414A75F5D6}" name="Description" dataDxfId="8"/>
    <tableColumn id="4" xr3:uid="{976E804B-3554-4FE1-94D0-685EA596ACB5}" name="Transaction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D018A-11EB-4CA3-87FB-3157F3A23004}" name="Table2325" displayName="Table2325" ref="F3:I11" totalsRowShown="0" headerRowDxfId="6" dataDxfId="5" headerRowBorderDxfId="4">
  <autoFilter ref="F3:I11" xr:uid="{2B1D018A-11EB-4CA3-87FB-3157F3A23004}"/>
  <tableColumns count="4">
    <tableColumn id="1" xr3:uid="{E6AC82AE-C271-4F1D-BC83-F3EEAC0900FC}" name="Date" dataDxfId="3"/>
    <tableColumn id="2" xr3:uid="{2A513720-218F-4291-A47C-1153E42F75BA}" name="From" dataDxfId="2"/>
    <tableColumn id="3" xr3:uid="{609CA6F1-052B-44DB-B9CA-2CA264A38EA4}" name="Description" dataDxfId="1"/>
    <tableColumn id="4" xr3:uid="{405FF57B-8D23-491D-89AB-88F7E3BD8690}" name="Transa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159"/>
  <sheetViews>
    <sheetView topLeftCell="G89" zoomScale="55" zoomScaleNormal="55" workbookViewId="0">
      <selection activeCell="L163" sqref="L163"/>
    </sheetView>
  </sheetViews>
  <sheetFormatPr defaultColWidth="8.85546875" defaultRowHeight="12.75"/>
  <cols>
    <col min="1" max="1" width="9.5703125" bestFit="1" customWidth="1"/>
    <col min="2" max="2" width="13.7109375" customWidth="1"/>
    <col min="3" max="3" width="12.7109375" bestFit="1" customWidth="1"/>
    <col min="4" max="4" width="11.85546875" bestFit="1" customWidth="1"/>
    <col min="5" max="5" width="15" bestFit="1" customWidth="1"/>
    <col min="6" max="7" width="13.42578125" bestFit="1" customWidth="1"/>
    <col min="8" max="8" width="3.85546875" customWidth="1"/>
    <col min="9" max="9" width="16.140625" customWidth="1"/>
    <col min="10" max="10" width="11.85546875" customWidth="1"/>
    <col min="11" max="20" width="11.85546875" bestFit="1" customWidth="1"/>
    <col min="21" max="21" width="11.85546875" customWidth="1"/>
    <col min="22" max="22" width="12.28515625" customWidth="1"/>
    <col min="23" max="117" width="17.28515625" customWidth="1"/>
    <col min="118" max="121" width="17.28515625" bestFit="1" customWidth="1"/>
    <col min="122" max="126" width="17.28515625" customWidth="1"/>
    <col min="127" max="132" width="17.28515625" bestFit="1" customWidth="1"/>
    <col min="133" max="138" width="17.42578125" bestFit="1" customWidth="1"/>
  </cols>
  <sheetData>
    <row r="3" spans="1:22" ht="24.75">
      <c r="A3" s="510" t="s">
        <v>0</v>
      </c>
      <c r="B3" s="511" t="s">
        <v>1</v>
      </c>
      <c r="C3" s="511" t="s">
        <v>2</v>
      </c>
      <c r="D3" s="511" t="s">
        <v>3</v>
      </c>
      <c r="E3" s="512" t="s">
        <v>4</v>
      </c>
      <c r="F3" s="513" t="s">
        <v>5</v>
      </c>
      <c r="G3" s="514" t="s">
        <v>6</v>
      </c>
      <c r="I3" s="274" t="s">
        <v>7</v>
      </c>
      <c r="J3" s="275">
        <v>2014</v>
      </c>
      <c r="K3" s="275">
        <v>2015</v>
      </c>
      <c r="L3" s="275">
        <v>2016</v>
      </c>
      <c r="M3" s="275">
        <v>2017</v>
      </c>
      <c r="N3" s="275">
        <v>2018</v>
      </c>
      <c r="O3" s="275">
        <v>2019</v>
      </c>
      <c r="P3" s="275">
        <v>2020</v>
      </c>
      <c r="Q3" s="276">
        <v>2021</v>
      </c>
      <c r="R3" s="276">
        <v>2022</v>
      </c>
      <c r="S3" s="276">
        <v>2023</v>
      </c>
      <c r="T3" s="276">
        <v>2024</v>
      </c>
      <c r="U3" s="276">
        <v>2025</v>
      </c>
      <c r="V3" s="277">
        <v>2026</v>
      </c>
    </row>
    <row r="4" spans="1:22">
      <c r="A4" s="506">
        <v>41640</v>
      </c>
      <c r="B4" s="373">
        <v>21649.025000000001</v>
      </c>
      <c r="C4" s="374">
        <v>1271.79</v>
      </c>
      <c r="D4" s="375">
        <v>10006.255000000001</v>
      </c>
      <c r="E4" s="376">
        <v>10370.980000000001</v>
      </c>
      <c r="F4" s="487">
        <v>0</v>
      </c>
      <c r="G4" s="509"/>
      <c r="I4" s="294" t="s">
        <v>8</v>
      </c>
      <c r="J4" s="565">
        <v>851.91000000000008</v>
      </c>
      <c r="K4" s="565">
        <v>987.32</v>
      </c>
      <c r="L4" s="565">
        <v>1197.49</v>
      </c>
      <c r="M4" s="565">
        <v>1543.82</v>
      </c>
      <c r="N4" s="565">
        <v>2034.95</v>
      </c>
      <c r="O4" s="565">
        <v>1970.2500000000002</v>
      </c>
      <c r="P4" s="566">
        <v>3356.2</v>
      </c>
      <c r="Q4" s="566">
        <v>3292.7799999999997</v>
      </c>
      <c r="R4" s="566">
        <v>3440.2799999999997</v>
      </c>
      <c r="S4" s="566">
        <v>2037.1999999999998</v>
      </c>
      <c r="T4" s="567">
        <v>3993.9400000000005</v>
      </c>
      <c r="U4" s="567">
        <v>4846.57</v>
      </c>
      <c r="V4" s="568">
        <f>ABS(Summary!F21)</f>
        <v>1782.99</v>
      </c>
    </row>
    <row r="5" spans="1:22">
      <c r="A5" s="507">
        <v>41671</v>
      </c>
      <c r="B5" s="602">
        <v>22401.335000000003</v>
      </c>
      <c r="C5" s="603">
        <v>1297.42</v>
      </c>
      <c r="D5" s="604">
        <v>9951.6049999999996</v>
      </c>
      <c r="E5" s="605">
        <v>11152.310000000001</v>
      </c>
      <c r="F5" s="606">
        <f>(B5-B4)/B4</f>
        <v>3.4750294759232865E-2</v>
      </c>
      <c r="G5" s="607"/>
      <c r="I5" s="608" t="s">
        <v>9</v>
      </c>
      <c r="J5" s="609">
        <v>927.31000000000006</v>
      </c>
      <c r="K5" s="609">
        <v>495.80999999999995</v>
      </c>
      <c r="L5" s="609">
        <v>664</v>
      </c>
      <c r="M5" s="609">
        <v>725.62</v>
      </c>
      <c r="N5" s="609">
        <v>806.4</v>
      </c>
      <c r="O5" s="609">
        <v>862.29</v>
      </c>
      <c r="P5" s="610">
        <v>812.38</v>
      </c>
      <c r="Q5" s="610">
        <v>1736.44</v>
      </c>
      <c r="R5" s="610">
        <v>1845.0500000000002</v>
      </c>
      <c r="S5" s="610">
        <v>2349.59</v>
      </c>
      <c r="T5" s="611">
        <v>4515</v>
      </c>
      <c r="U5" s="611">
        <v>4026.4700000000003</v>
      </c>
      <c r="V5" s="612">
        <f>ABS(Summary!F22)</f>
        <v>1726.67</v>
      </c>
    </row>
    <row r="6" spans="1:22">
      <c r="A6" s="507">
        <v>41699</v>
      </c>
      <c r="B6" s="602">
        <v>23723.73</v>
      </c>
      <c r="C6" s="603">
        <v>1345.88</v>
      </c>
      <c r="D6" s="604">
        <v>10747.5</v>
      </c>
      <c r="E6" s="605">
        <v>11630.35</v>
      </c>
      <c r="F6" s="606">
        <f t="shared" ref="F6:G69" si="0">(B6-B5)/B5</f>
        <v>5.9031972871259532E-2</v>
      </c>
      <c r="G6" s="607"/>
      <c r="I6" s="608" t="s">
        <v>10</v>
      </c>
      <c r="J6" s="609">
        <v>96.56</v>
      </c>
      <c r="K6" s="609">
        <v>91</v>
      </c>
      <c r="L6" s="609">
        <v>20</v>
      </c>
      <c r="M6" s="609">
        <v>0</v>
      </c>
      <c r="N6" s="609">
        <v>0</v>
      </c>
      <c r="O6" s="609">
        <v>0</v>
      </c>
      <c r="P6" s="610">
        <v>0</v>
      </c>
      <c r="Q6" s="610">
        <v>0</v>
      </c>
      <c r="R6" s="610">
        <v>0</v>
      </c>
      <c r="S6" s="610">
        <v>0</v>
      </c>
      <c r="T6" s="611">
        <v>0</v>
      </c>
      <c r="U6" s="611">
        <v>0</v>
      </c>
      <c r="V6" s="612">
        <f>ABS(Summary!F23)</f>
        <v>0</v>
      </c>
    </row>
    <row r="7" spans="1:22">
      <c r="A7" s="507">
        <v>41730</v>
      </c>
      <c r="B7" s="602">
        <v>23432.04</v>
      </c>
      <c r="C7" s="603">
        <v>1400</v>
      </c>
      <c r="D7" s="604">
        <v>10273.68</v>
      </c>
      <c r="E7" s="605">
        <v>11758.36</v>
      </c>
      <c r="F7" s="606">
        <f t="shared" si="0"/>
        <v>-1.2295284088969091E-2</v>
      </c>
      <c r="G7" s="607"/>
      <c r="I7" s="608" t="s">
        <v>11</v>
      </c>
      <c r="J7" s="609">
        <v>1332.7</v>
      </c>
      <c r="K7" s="609">
        <v>116.71</v>
      </c>
      <c r="L7" s="609">
        <v>258.73</v>
      </c>
      <c r="M7" s="609">
        <v>819.96</v>
      </c>
      <c r="N7" s="609">
        <v>557.72</v>
      </c>
      <c r="O7" s="609">
        <v>317</v>
      </c>
      <c r="P7" s="610">
        <v>322</v>
      </c>
      <c r="Q7" s="610">
        <v>709</v>
      </c>
      <c r="R7" s="610">
        <v>883</v>
      </c>
      <c r="S7" s="610">
        <v>1865.7</v>
      </c>
      <c r="T7" s="611">
        <v>3446.48</v>
      </c>
      <c r="U7" s="611">
        <v>3322.58</v>
      </c>
      <c r="V7" s="612">
        <f>ABS(Summary!F24)</f>
        <v>1827.19</v>
      </c>
    </row>
    <row r="8" spans="1:22">
      <c r="A8" s="507">
        <v>41760</v>
      </c>
      <c r="B8" s="602">
        <v>24523.49</v>
      </c>
      <c r="C8" s="603">
        <v>1450.97</v>
      </c>
      <c r="D8" s="604">
        <v>10694.02</v>
      </c>
      <c r="E8" s="605">
        <v>12378.5</v>
      </c>
      <c r="F8" s="606">
        <f t="shared" si="0"/>
        <v>4.6579384466738732E-2</v>
      </c>
      <c r="G8" s="607"/>
      <c r="I8" s="608" t="s">
        <v>12</v>
      </c>
      <c r="J8" s="609">
        <v>0</v>
      </c>
      <c r="K8" s="609">
        <v>0</v>
      </c>
      <c r="L8" s="609">
        <v>0</v>
      </c>
      <c r="M8" s="609">
        <v>0</v>
      </c>
      <c r="N8" s="609">
        <v>0</v>
      </c>
      <c r="O8" s="609">
        <v>0</v>
      </c>
      <c r="P8" s="610">
        <v>0</v>
      </c>
      <c r="Q8" s="610">
        <v>277.75</v>
      </c>
      <c r="R8" s="610">
        <v>4044.92</v>
      </c>
      <c r="S8" s="610">
        <v>7082.98</v>
      </c>
      <c r="T8" s="611">
        <v>8422.68</v>
      </c>
      <c r="U8" s="611">
        <v>8054.25</v>
      </c>
      <c r="V8" s="612">
        <f>ABS(Summary!F25)</f>
        <v>3543.06</v>
      </c>
    </row>
    <row r="9" spans="1:22">
      <c r="A9" s="507">
        <v>41791</v>
      </c>
      <c r="B9" s="602">
        <v>24628.909999999996</v>
      </c>
      <c r="C9" s="603">
        <v>1500.9299999999998</v>
      </c>
      <c r="D9" s="604">
        <v>10109.969999999999</v>
      </c>
      <c r="E9" s="605">
        <v>13018.01</v>
      </c>
      <c r="F9" s="606">
        <f t="shared" si="0"/>
        <v>4.2987356204192226E-3</v>
      </c>
      <c r="G9" s="607"/>
      <c r="I9" s="608" t="s">
        <v>13</v>
      </c>
      <c r="J9" s="609">
        <v>7007.2949999999992</v>
      </c>
      <c r="K9" s="609">
        <v>4867.59</v>
      </c>
      <c r="L9" s="609">
        <v>7576.9400000000005</v>
      </c>
      <c r="M9" s="609">
        <v>9145.1889999999985</v>
      </c>
      <c r="N9" s="609">
        <v>7811.3600000000006</v>
      </c>
      <c r="O9" s="609">
        <v>9042.619999999999</v>
      </c>
      <c r="P9" s="610">
        <v>7226.4800000000005</v>
      </c>
      <c r="Q9" s="610">
        <v>6448.9900000000007</v>
      </c>
      <c r="R9" s="610">
        <v>10189.09</v>
      </c>
      <c r="S9" s="610">
        <v>15350.630000000001</v>
      </c>
      <c r="T9" s="611">
        <v>16817.09</v>
      </c>
      <c r="U9" s="611">
        <v>18139.490000000002</v>
      </c>
      <c r="V9" s="612">
        <f>ABS(Summary!F26)</f>
        <v>8682.83</v>
      </c>
    </row>
    <row r="10" spans="1:22">
      <c r="A10" s="507">
        <v>41821</v>
      </c>
      <c r="B10" s="602">
        <v>25890.340000000004</v>
      </c>
      <c r="C10" s="603">
        <v>1550.26</v>
      </c>
      <c r="D10" s="604">
        <v>11063.67</v>
      </c>
      <c r="E10" s="605">
        <v>13276.41</v>
      </c>
      <c r="F10" s="606">
        <f t="shared" si="0"/>
        <v>5.1217451361022785E-2</v>
      </c>
      <c r="G10" s="607"/>
      <c r="I10" s="613" t="s">
        <v>14</v>
      </c>
      <c r="J10" s="609">
        <v>589.01</v>
      </c>
      <c r="K10" s="609">
        <v>1280.43</v>
      </c>
      <c r="L10" s="609">
        <v>2038.2</v>
      </c>
      <c r="M10" s="609">
        <v>3337.8600000000006</v>
      </c>
      <c r="N10" s="609">
        <v>2322</v>
      </c>
      <c r="O10" s="609">
        <v>3807.9700000000003</v>
      </c>
      <c r="P10" s="610">
        <v>2895.82</v>
      </c>
      <c r="Q10" s="610">
        <v>2035.44</v>
      </c>
      <c r="R10" s="610">
        <v>3210.96</v>
      </c>
      <c r="S10" s="610">
        <v>2512</v>
      </c>
      <c r="T10" s="611">
        <v>4405</v>
      </c>
      <c r="U10" s="611">
        <v>4789.0200000000004</v>
      </c>
      <c r="V10" s="612">
        <f>ABS(Summary!F27)</f>
        <v>2548.38</v>
      </c>
    </row>
    <row r="11" spans="1:22">
      <c r="A11" s="507">
        <v>41852</v>
      </c>
      <c r="B11" s="602">
        <v>26583.16</v>
      </c>
      <c r="C11" s="603">
        <v>1600.44</v>
      </c>
      <c r="D11" s="604">
        <v>11204.09</v>
      </c>
      <c r="E11" s="605">
        <v>13778.630000000001</v>
      </c>
      <c r="F11" s="606">
        <f t="shared" si="0"/>
        <v>2.6759787627354294E-2</v>
      </c>
      <c r="G11" s="607"/>
      <c r="I11" s="608" t="s">
        <v>15</v>
      </c>
      <c r="J11" s="609">
        <v>2440.2404999999999</v>
      </c>
      <c r="K11" s="609">
        <v>1967.5500000000002</v>
      </c>
      <c r="L11" s="609">
        <v>2032.52</v>
      </c>
      <c r="M11" s="609">
        <v>2661.15</v>
      </c>
      <c r="N11" s="609">
        <v>2767.3900000000003</v>
      </c>
      <c r="O11" s="609">
        <v>2393.9300000000003</v>
      </c>
      <c r="P11" s="610">
        <v>1819.54</v>
      </c>
      <c r="Q11" s="610">
        <v>3552.42</v>
      </c>
      <c r="R11" s="610">
        <v>5292.16</v>
      </c>
      <c r="S11" s="610">
        <v>2735.74</v>
      </c>
      <c r="T11" s="611">
        <v>2230.6800000000003</v>
      </c>
      <c r="U11" s="611">
        <v>2605.1</v>
      </c>
      <c r="V11" s="612">
        <f>ABS(Summary!F28)</f>
        <v>1491.94</v>
      </c>
    </row>
    <row r="12" spans="1:22">
      <c r="A12" s="507">
        <v>41883</v>
      </c>
      <c r="B12" s="602">
        <v>27276.629999999997</v>
      </c>
      <c r="C12" s="603">
        <v>1650</v>
      </c>
      <c r="D12" s="604">
        <v>10319.129999999999</v>
      </c>
      <c r="E12" s="605">
        <v>15307.5</v>
      </c>
      <c r="F12" s="606">
        <f t="shared" si="0"/>
        <v>2.6086815863877639E-2</v>
      </c>
      <c r="G12" s="607"/>
      <c r="I12" s="608" t="s">
        <v>16</v>
      </c>
      <c r="J12" s="609">
        <v>431.15999999999997</v>
      </c>
      <c r="K12" s="609">
        <v>1026.8</v>
      </c>
      <c r="L12" s="609">
        <v>320</v>
      </c>
      <c r="M12" s="609">
        <v>1446.25</v>
      </c>
      <c r="N12" s="609">
        <v>1912</v>
      </c>
      <c r="O12" s="609">
        <v>2816.02</v>
      </c>
      <c r="P12" s="610">
        <v>4201.05</v>
      </c>
      <c r="Q12" s="610">
        <v>2303.89</v>
      </c>
      <c r="R12" s="610">
        <v>4561.3</v>
      </c>
      <c r="S12" s="610">
        <v>4085.8100000000004</v>
      </c>
      <c r="T12" s="611">
        <v>7078.0599999999995</v>
      </c>
      <c r="U12" s="611">
        <v>3429</v>
      </c>
      <c r="V12" s="612">
        <f>ABS(Summary!F29)</f>
        <v>2699.84</v>
      </c>
    </row>
    <row r="13" spans="1:22">
      <c r="A13" s="507">
        <v>41913</v>
      </c>
      <c r="B13" s="602">
        <v>27004.21</v>
      </c>
      <c r="C13" s="603">
        <v>1650.4899999999998</v>
      </c>
      <c r="D13" s="604">
        <v>9804.7099999999991</v>
      </c>
      <c r="E13" s="605">
        <v>15549.01</v>
      </c>
      <c r="F13" s="606">
        <f t="shared" si="0"/>
        <v>-9.9873041501093891E-3</v>
      </c>
      <c r="G13" s="607"/>
      <c r="I13" s="608" t="s">
        <v>17</v>
      </c>
      <c r="J13" s="609">
        <v>622.86999999999989</v>
      </c>
      <c r="K13" s="609">
        <v>844.37</v>
      </c>
      <c r="L13" s="609">
        <v>1296.9989799999998</v>
      </c>
      <c r="M13" s="609">
        <v>2195.0599999999995</v>
      </c>
      <c r="N13" s="609">
        <v>1338.21</v>
      </c>
      <c r="O13" s="609">
        <v>4714.05</v>
      </c>
      <c r="P13" s="610">
        <v>4736.63</v>
      </c>
      <c r="Q13" s="610">
        <v>5762.05</v>
      </c>
      <c r="R13" s="610">
        <v>9675.2000000000007</v>
      </c>
      <c r="S13" s="610">
        <v>11091.32</v>
      </c>
      <c r="T13" s="611">
        <v>14672.909999999998</v>
      </c>
      <c r="U13" s="611">
        <v>13428.26</v>
      </c>
      <c r="V13" s="612">
        <f>ABS(Summary!F30)</f>
        <v>4870.2599999999993</v>
      </c>
    </row>
    <row r="14" spans="1:22">
      <c r="A14" s="507">
        <v>41944</v>
      </c>
      <c r="B14" s="602">
        <v>26880.92</v>
      </c>
      <c r="C14" s="603">
        <v>1700</v>
      </c>
      <c r="D14" s="604">
        <v>9288.4500000000007</v>
      </c>
      <c r="E14" s="605">
        <v>15892.47</v>
      </c>
      <c r="F14" s="606">
        <f t="shared" si="0"/>
        <v>-4.5655844033208482E-3</v>
      </c>
      <c r="G14" s="607"/>
      <c r="I14" s="608" t="s">
        <v>18</v>
      </c>
      <c r="J14" s="609">
        <v>275.92999999999995</v>
      </c>
      <c r="K14" s="609">
        <v>0</v>
      </c>
      <c r="L14" s="609">
        <v>525.21</v>
      </c>
      <c r="M14" s="609">
        <v>1035.99</v>
      </c>
      <c r="N14" s="609">
        <v>1092</v>
      </c>
      <c r="O14" s="609">
        <v>1135.78</v>
      </c>
      <c r="P14" s="610">
        <v>585.66</v>
      </c>
      <c r="Q14" s="610">
        <v>1449.76</v>
      </c>
      <c r="R14" s="610">
        <v>2210.21</v>
      </c>
      <c r="S14" s="610">
        <v>1559</v>
      </c>
      <c r="T14" s="611">
        <v>2664.8</v>
      </c>
      <c r="U14" s="611">
        <v>1858</v>
      </c>
      <c r="V14" s="612">
        <f>ABS(Summary!F31)</f>
        <v>359</v>
      </c>
    </row>
    <row r="15" spans="1:22">
      <c r="A15" s="507">
        <v>41974</v>
      </c>
      <c r="B15" s="602">
        <v>27223.75</v>
      </c>
      <c r="C15" s="603">
        <v>1750</v>
      </c>
      <c r="D15" s="604">
        <v>9370.99</v>
      </c>
      <c r="E15" s="605">
        <v>16102.759999999998</v>
      </c>
      <c r="F15" s="606">
        <f t="shared" si="0"/>
        <v>1.2753655752853763E-2</v>
      </c>
      <c r="G15" s="614">
        <f>(B15-B4)/B4</f>
        <v>0.25750466822408852</v>
      </c>
      <c r="I15" s="608" t="s">
        <v>19</v>
      </c>
      <c r="J15" s="609">
        <v>10860.309999999998</v>
      </c>
      <c r="K15" s="609">
        <v>8088.87</v>
      </c>
      <c r="L15" s="609">
        <v>3286.7799999999997</v>
      </c>
      <c r="M15" s="609">
        <v>0</v>
      </c>
      <c r="N15" s="609">
        <v>0</v>
      </c>
      <c r="O15" s="609">
        <v>0</v>
      </c>
      <c r="P15" s="610">
        <v>0</v>
      </c>
      <c r="Q15" s="610">
        <v>0</v>
      </c>
      <c r="R15" s="610">
        <v>0</v>
      </c>
      <c r="S15" s="610">
        <v>3042</v>
      </c>
      <c r="T15" s="611">
        <v>0</v>
      </c>
      <c r="U15" s="611">
        <v>0</v>
      </c>
      <c r="V15" s="612">
        <f>ABS(Summary!F32)</f>
        <v>0</v>
      </c>
    </row>
    <row r="16" spans="1:22">
      <c r="A16" s="508">
        <v>42005</v>
      </c>
      <c r="B16" s="602">
        <v>28593.489999999998</v>
      </c>
      <c r="C16" s="603">
        <v>1800.15</v>
      </c>
      <c r="D16" s="604">
        <v>9866.77</v>
      </c>
      <c r="E16" s="605">
        <v>16426.57</v>
      </c>
      <c r="F16" s="606">
        <f t="shared" si="0"/>
        <v>5.0314155838192681E-2</v>
      </c>
      <c r="G16" s="509"/>
      <c r="I16" s="608" t="s">
        <v>20</v>
      </c>
      <c r="J16" s="609">
        <v>2230.39</v>
      </c>
      <c r="K16" s="609">
        <v>2452.7200000000003</v>
      </c>
      <c r="L16" s="609">
        <v>1760.55</v>
      </c>
      <c r="M16" s="609">
        <v>2736.42</v>
      </c>
      <c r="N16" s="609">
        <v>5846.8099999999995</v>
      </c>
      <c r="O16" s="609">
        <v>7540.08</v>
      </c>
      <c r="P16" s="610">
        <v>3321.9</v>
      </c>
      <c r="Q16" s="610">
        <v>5192.6400000000003</v>
      </c>
      <c r="R16" s="610">
        <v>10567.66</v>
      </c>
      <c r="S16" s="610">
        <v>15194.14</v>
      </c>
      <c r="T16" s="611">
        <v>8684.5300000000007</v>
      </c>
      <c r="U16" s="611">
        <v>8066.3799999999992</v>
      </c>
      <c r="V16" s="612">
        <f>ABS(Summary!F33)</f>
        <v>2080</v>
      </c>
    </row>
    <row r="17" spans="1:22">
      <c r="A17" s="508">
        <v>42036</v>
      </c>
      <c r="B17" s="602">
        <v>28220.989999999998</v>
      </c>
      <c r="C17" s="603">
        <v>1850.06</v>
      </c>
      <c r="D17" s="604">
        <v>8868.08</v>
      </c>
      <c r="E17" s="605">
        <v>17002.849999999999</v>
      </c>
      <c r="F17" s="606">
        <f t="shared" si="0"/>
        <v>-1.3027440861538763E-2</v>
      </c>
      <c r="G17" s="607"/>
      <c r="I17" s="608" t="s">
        <v>21</v>
      </c>
      <c r="J17" s="609">
        <v>785.92000000000007</v>
      </c>
      <c r="K17" s="609">
        <f>481.36+456</f>
        <v>937.36</v>
      </c>
      <c r="L17" s="609">
        <v>878.05</v>
      </c>
      <c r="M17" s="609">
        <v>1666.15</v>
      </c>
      <c r="N17" s="609">
        <v>1440</v>
      </c>
      <c r="O17" s="609">
        <v>1552.6399999999999</v>
      </c>
      <c r="P17" s="610">
        <v>1817</v>
      </c>
      <c r="Q17" s="610">
        <v>1402.21</v>
      </c>
      <c r="R17" s="610">
        <v>2129</v>
      </c>
      <c r="S17" s="610">
        <v>4066</v>
      </c>
      <c r="T17" s="611">
        <v>5273</v>
      </c>
      <c r="U17" s="611">
        <v>8410</v>
      </c>
      <c r="V17" s="612">
        <f>ABS(Summary!F34)</f>
        <v>4955.54</v>
      </c>
    </row>
    <row r="18" spans="1:22">
      <c r="A18" s="508">
        <v>42064</v>
      </c>
      <c r="B18" s="602">
        <v>28589.920000000002</v>
      </c>
      <c r="C18" s="603">
        <v>1900</v>
      </c>
      <c r="D18" s="604">
        <v>8800.08</v>
      </c>
      <c r="E18" s="605">
        <v>17584.84</v>
      </c>
      <c r="F18" s="606">
        <f t="shared" si="0"/>
        <v>1.3072893615709583E-2</v>
      </c>
      <c r="G18" s="607"/>
      <c r="I18" s="608" t="s">
        <v>22</v>
      </c>
      <c r="J18" s="609">
        <v>6436.9400000000005</v>
      </c>
      <c r="K18" s="609">
        <v>10040.33</v>
      </c>
      <c r="L18" s="609">
        <v>8503.9700000000012</v>
      </c>
      <c r="M18" s="609">
        <v>8283.08</v>
      </c>
      <c r="N18" s="609">
        <v>11107.76</v>
      </c>
      <c r="O18" s="609">
        <v>9917.18</v>
      </c>
      <c r="P18" s="610">
        <v>16928.246666666666</v>
      </c>
      <c r="Q18" s="610">
        <v>10437.129999999999</v>
      </c>
      <c r="R18" s="610">
        <v>33954.519999999997</v>
      </c>
      <c r="S18" s="610">
        <v>36146.49</v>
      </c>
      <c r="T18" s="611">
        <v>50666</v>
      </c>
      <c r="U18" s="611">
        <v>48773</v>
      </c>
      <c r="V18" s="612">
        <f>ABS(Summary!F35)</f>
        <v>25304</v>
      </c>
    </row>
    <row r="19" spans="1:22">
      <c r="A19" s="508">
        <v>42095</v>
      </c>
      <c r="B19" s="602">
        <v>29266.99</v>
      </c>
      <c r="C19" s="603">
        <v>1900</v>
      </c>
      <c r="D19" s="604">
        <v>9110.4</v>
      </c>
      <c r="E19" s="605">
        <v>17951.05</v>
      </c>
      <c r="F19" s="606">
        <f t="shared" si="0"/>
        <v>2.3682122930039667E-2</v>
      </c>
      <c r="G19" s="607"/>
      <c r="I19" s="608" t="s">
        <v>23</v>
      </c>
      <c r="J19" s="609">
        <v>472.98</v>
      </c>
      <c r="K19" s="609">
        <v>345.32</v>
      </c>
      <c r="L19" s="609">
        <v>1280.54</v>
      </c>
      <c r="M19" s="609">
        <v>1057.97</v>
      </c>
      <c r="N19" s="609">
        <v>5707.71</v>
      </c>
      <c r="O19" s="609">
        <v>6035.42</v>
      </c>
      <c r="P19" s="610">
        <v>816</v>
      </c>
      <c r="Q19" s="610">
        <v>10424.68</v>
      </c>
      <c r="R19" s="610">
        <v>10431</v>
      </c>
      <c r="S19" s="610">
        <v>11718.75</v>
      </c>
      <c r="T19" s="611">
        <v>13939</v>
      </c>
      <c r="U19" s="611">
        <v>4603.3</v>
      </c>
      <c r="V19" s="612">
        <f>ABS(Summary!F36)</f>
        <v>5677</v>
      </c>
    </row>
    <row r="20" spans="1:22">
      <c r="A20" s="508">
        <v>42125</v>
      </c>
      <c r="B20" s="602">
        <v>30007.840000000004</v>
      </c>
      <c r="C20" s="603">
        <v>1950</v>
      </c>
      <c r="D20" s="604">
        <v>9359.4</v>
      </c>
      <c r="E20" s="605">
        <v>18342.900000000001</v>
      </c>
      <c r="F20" s="606">
        <f t="shared" si="0"/>
        <v>2.531350166176987E-2</v>
      </c>
      <c r="G20" s="607"/>
      <c r="I20" s="608" t="s">
        <v>24</v>
      </c>
      <c r="J20" s="615">
        <v>0</v>
      </c>
      <c r="K20" s="615">
        <v>0</v>
      </c>
      <c r="L20" s="609">
        <v>1153.27</v>
      </c>
      <c r="M20" s="609">
        <v>1769.96</v>
      </c>
      <c r="N20" s="609">
        <v>3186.91</v>
      </c>
      <c r="O20" s="609">
        <v>2725.69</v>
      </c>
      <c r="P20" s="610">
        <v>2409.61</v>
      </c>
      <c r="Q20" s="610">
        <v>4132.62</v>
      </c>
      <c r="R20" s="610">
        <v>1959</v>
      </c>
      <c r="S20" s="610">
        <v>4032</v>
      </c>
      <c r="T20" s="611">
        <v>8401</v>
      </c>
      <c r="U20" s="611">
        <v>9116</v>
      </c>
      <c r="V20" s="612">
        <f>ABS(Summary!F37)</f>
        <v>3045</v>
      </c>
    </row>
    <row r="21" spans="1:22">
      <c r="A21" s="508">
        <v>42156</v>
      </c>
      <c r="B21" s="602">
        <v>30396.9</v>
      </c>
      <c r="C21" s="603">
        <v>1969.8</v>
      </c>
      <c r="D21" s="604">
        <v>9478.2000000000007</v>
      </c>
      <c r="E21" s="605">
        <v>18668.900000000001</v>
      </c>
      <c r="F21" s="606">
        <f t="shared" si="0"/>
        <v>1.2965278407242828E-2</v>
      </c>
      <c r="G21" s="607"/>
      <c r="I21" s="608" t="s">
        <v>25</v>
      </c>
      <c r="J21" s="609">
        <v>37.82</v>
      </c>
      <c r="K21" s="609">
        <v>267.82</v>
      </c>
      <c r="L21" s="609">
        <v>537.04</v>
      </c>
      <c r="M21" s="609">
        <v>262</v>
      </c>
      <c r="N21" s="609">
        <v>612</v>
      </c>
      <c r="O21" s="609">
        <v>266.51</v>
      </c>
      <c r="P21" s="610">
        <v>10393</v>
      </c>
      <c r="Q21" s="610">
        <v>4361.26</v>
      </c>
      <c r="R21" s="610">
        <v>3532</v>
      </c>
      <c r="S21" s="610">
        <v>3311</v>
      </c>
      <c r="T21" s="611">
        <v>1793</v>
      </c>
      <c r="U21" s="611">
        <v>2322</v>
      </c>
      <c r="V21" s="612">
        <f>ABS(Summary!F38)</f>
        <v>830</v>
      </c>
    </row>
    <row r="22" spans="1:22">
      <c r="A22" s="508">
        <v>42186</v>
      </c>
      <c r="B22" s="602">
        <v>31336.35</v>
      </c>
      <c r="C22" s="603">
        <v>2000.73</v>
      </c>
      <c r="D22" s="604">
        <v>9699.619999999999</v>
      </c>
      <c r="E22" s="605">
        <v>19256</v>
      </c>
      <c r="F22" s="606">
        <f t="shared" si="0"/>
        <v>3.090611213643487E-2</v>
      </c>
      <c r="G22" s="607"/>
      <c r="I22" s="608" t="s">
        <v>26</v>
      </c>
      <c r="J22" s="610">
        <v>0</v>
      </c>
      <c r="K22" s="610">
        <v>0</v>
      </c>
      <c r="L22" s="610">
        <v>0</v>
      </c>
      <c r="M22" s="610">
        <v>0</v>
      </c>
      <c r="N22" s="610">
        <v>0</v>
      </c>
      <c r="O22" s="610">
        <v>0</v>
      </c>
      <c r="P22" s="610">
        <v>0</v>
      </c>
      <c r="Q22" s="610">
        <v>3437.57</v>
      </c>
      <c r="R22" s="610">
        <v>3080.19</v>
      </c>
      <c r="S22" s="610">
        <v>5129.57</v>
      </c>
      <c r="T22" s="611">
        <v>14326.18</v>
      </c>
      <c r="U22" s="611">
        <v>3911.1</v>
      </c>
      <c r="V22" s="612">
        <f>ABS(Summary!F39)</f>
        <v>1439.3</v>
      </c>
    </row>
    <row r="23" spans="1:22">
      <c r="A23" s="508">
        <v>42217</v>
      </c>
      <c r="B23" s="602">
        <v>31108.32</v>
      </c>
      <c r="C23" s="603">
        <v>2000.45</v>
      </c>
      <c r="D23" s="604">
        <v>9537.07</v>
      </c>
      <c r="E23" s="605">
        <v>19570.8</v>
      </c>
      <c r="F23" s="606">
        <f t="shared" si="0"/>
        <v>-7.2768526008931749E-3</v>
      </c>
      <c r="G23" s="607"/>
      <c r="I23" s="608" t="s">
        <v>27</v>
      </c>
      <c r="J23" s="615">
        <v>0</v>
      </c>
      <c r="K23" s="615">
        <v>0</v>
      </c>
      <c r="L23" s="615">
        <v>0</v>
      </c>
      <c r="M23" s="609">
        <v>3657</v>
      </c>
      <c r="N23" s="609">
        <v>85.86</v>
      </c>
      <c r="O23" s="609">
        <v>2217</v>
      </c>
      <c r="P23" s="610">
        <v>0</v>
      </c>
      <c r="Q23" s="610">
        <v>0</v>
      </c>
      <c r="R23" s="610">
        <v>0</v>
      </c>
      <c r="S23" s="610">
        <v>0</v>
      </c>
      <c r="T23" s="611">
        <v>2421.8000000000002</v>
      </c>
      <c r="U23" s="611">
        <v>3036</v>
      </c>
      <c r="V23" s="612">
        <f>ABS(Summary!F40)</f>
        <v>11681</v>
      </c>
    </row>
    <row r="24" spans="1:22">
      <c r="A24" s="508">
        <v>42248</v>
      </c>
      <c r="B24" s="602">
        <v>31657.56</v>
      </c>
      <c r="C24" s="603">
        <v>2049.6999999999998</v>
      </c>
      <c r="D24" s="604">
        <v>9702.61</v>
      </c>
      <c r="E24" s="605">
        <v>19905.25</v>
      </c>
      <c r="F24" s="606">
        <f t="shared" si="0"/>
        <v>1.7655726828064055E-2</v>
      </c>
      <c r="G24" s="607"/>
      <c r="I24" s="616" t="s">
        <v>28</v>
      </c>
      <c r="J24" s="617">
        <v>0</v>
      </c>
      <c r="K24" s="618">
        <v>0</v>
      </c>
      <c r="L24" s="618">
        <v>0</v>
      </c>
      <c r="M24" s="617">
        <v>0</v>
      </c>
      <c r="N24" s="617">
        <v>0</v>
      </c>
      <c r="O24" s="617">
        <v>0</v>
      </c>
      <c r="P24" s="617">
        <v>0</v>
      </c>
      <c r="Q24" s="617">
        <v>0</v>
      </c>
      <c r="R24" s="617">
        <v>0</v>
      </c>
      <c r="S24" s="617">
        <v>0</v>
      </c>
      <c r="T24" s="619">
        <v>4334</v>
      </c>
      <c r="U24" s="619">
        <v>7446</v>
      </c>
      <c r="V24" s="620">
        <f>ABS(Summary!F41)</f>
        <v>4801</v>
      </c>
    </row>
    <row r="25" spans="1:22">
      <c r="A25" s="508">
        <v>42278</v>
      </c>
      <c r="B25" s="602">
        <v>33152.22</v>
      </c>
      <c r="C25" s="603">
        <v>2100.06</v>
      </c>
      <c r="D25" s="604">
        <v>10049.27</v>
      </c>
      <c r="E25" s="605">
        <v>20502.89</v>
      </c>
      <c r="F25" s="606">
        <f t="shared" si="0"/>
        <v>4.7213367044080461E-2</v>
      </c>
      <c r="G25" s="607"/>
      <c r="I25" s="278" t="s">
        <v>29</v>
      </c>
      <c r="J25" s="569">
        <f>SUM(J4:J24)</f>
        <v>35399.345500000003</v>
      </c>
      <c r="K25" s="569">
        <f t="shared" ref="K25:R25" si="1">SUM(K4:K23)</f>
        <v>33810</v>
      </c>
      <c r="L25" s="569">
        <f t="shared" si="1"/>
        <v>33330.288979999998</v>
      </c>
      <c r="M25" s="569">
        <f t="shared" si="1"/>
        <v>42343.479000000007</v>
      </c>
      <c r="N25" s="569">
        <f t="shared" si="1"/>
        <v>48629.08</v>
      </c>
      <c r="O25" s="569">
        <f t="shared" si="1"/>
        <v>57314.43</v>
      </c>
      <c r="P25" s="569">
        <f t="shared" si="1"/>
        <v>61641.51666666667</v>
      </c>
      <c r="Q25" s="569">
        <f t="shared" si="1"/>
        <v>66956.63</v>
      </c>
      <c r="R25" s="569">
        <f t="shared" si="1"/>
        <v>111005.54000000001</v>
      </c>
      <c r="S25" s="570">
        <f>SUM(S4:S23)</f>
        <v>133309.91999999998</v>
      </c>
      <c r="T25" s="570">
        <f>SUM(T4:T24)</f>
        <v>178085.14999999997</v>
      </c>
      <c r="U25" s="570">
        <f>SUM(U4:U24)</f>
        <v>160182.52000000002</v>
      </c>
      <c r="V25" s="571">
        <f>SUM(V4:V23)</f>
        <v>84544</v>
      </c>
    </row>
    <row r="26" spans="1:22">
      <c r="A26" s="508">
        <v>42309</v>
      </c>
      <c r="B26" s="602">
        <v>34074.549999999996</v>
      </c>
      <c r="C26" s="603">
        <v>2150.06</v>
      </c>
      <c r="D26" s="604">
        <v>10675.1</v>
      </c>
      <c r="E26" s="605">
        <v>21049.39</v>
      </c>
      <c r="F26" s="606">
        <f t="shared" si="0"/>
        <v>2.7821062963505745E-2</v>
      </c>
      <c r="G26" s="607"/>
    </row>
    <row r="27" spans="1:22">
      <c r="A27" s="508">
        <v>42339</v>
      </c>
      <c r="B27" s="602">
        <v>34719.280000000006</v>
      </c>
      <c r="C27" s="603">
        <v>2200.12</v>
      </c>
      <c r="D27" s="604">
        <v>10888.1</v>
      </c>
      <c r="E27" s="605">
        <v>21418.65</v>
      </c>
      <c r="F27" s="606">
        <f t="shared" si="0"/>
        <v>1.8921159633803249E-2</v>
      </c>
      <c r="G27" s="614">
        <f>(B27-B16)/B16</f>
        <v>0.21423722672538428</v>
      </c>
      <c r="I27" s="109" t="s">
        <v>7</v>
      </c>
      <c r="J27" t="s">
        <v>29</v>
      </c>
    </row>
    <row r="28" spans="1:22">
      <c r="A28" s="508">
        <v>42370</v>
      </c>
      <c r="B28" s="602">
        <v>35458.239999999998</v>
      </c>
      <c r="C28" s="602">
        <v>2250.81</v>
      </c>
      <c r="D28" s="604">
        <v>11403.800000000001</v>
      </c>
      <c r="E28" s="621">
        <v>21803.629999999997</v>
      </c>
      <c r="F28" s="622">
        <f t="shared" si="0"/>
        <v>2.1283851508441181E-2</v>
      </c>
      <c r="G28" s="509"/>
    </row>
    <row r="29" spans="1:22">
      <c r="A29" s="508">
        <v>42401</v>
      </c>
      <c r="B29" s="602">
        <v>35923.871019999999</v>
      </c>
      <c r="C29" s="602">
        <v>2300.67</v>
      </c>
      <c r="D29" s="604">
        <v>11442.381020000001</v>
      </c>
      <c r="E29" s="621">
        <v>22180.82</v>
      </c>
      <c r="F29" s="622">
        <f t="shared" si="0"/>
        <v>1.3131814213001004E-2</v>
      </c>
      <c r="G29" s="607"/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39</v>
      </c>
      <c r="S29" t="s">
        <v>40</v>
      </c>
      <c r="T29" t="s">
        <v>41</v>
      </c>
      <c r="U29" t="s">
        <v>42</v>
      </c>
    </row>
    <row r="30" spans="1:22">
      <c r="A30" s="508">
        <v>42430</v>
      </c>
      <c r="B30" s="602">
        <v>35940.411020000007</v>
      </c>
      <c r="C30" s="602">
        <v>2350.87</v>
      </c>
      <c r="D30" s="604">
        <v>11029.60102</v>
      </c>
      <c r="E30" s="621">
        <v>22559.94</v>
      </c>
      <c r="F30" s="622">
        <f t="shared" si="0"/>
        <v>4.6041808776119331E-4</v>
      </c>
      <c r="G30" s="607"/>
      <c r="I30" s="134">
        <v>35399.345500000003</v>
      </c>
      <c r="J30" s="134">
        <v>33810</v>
      </c>
      <c r="K30" s="134">
        <v>33330.288979999998</v>
      </c>
      <c r="L30" s="134">
        <v>42343.479000000007</v>
      </c>
      <c r="M30" s="134">
        <v>48629.08</v>
      </c>
      <c r="N30" s="134">
        <v>57314.43</v>
      </c>
      <c r="O30" s="134">
        <v>61641.51666666667</v>
      </c>
      <c r="P30" s="134">
        <v>66956.63</v>
      </c>
      <c r="Q30" s="134">
        <v>111005.54000000001</v>
      </c>
      <c r="R30" s="134">
        <v>133309.91999999998</v>
      </c>
      <c r="S30" s="134">
        <v>178085.14999999997</v>
      </c>
      <c r="T30" s="134">
        <v>160182.52000000002</v>
      </c>
      <c r="U30" s="134">
        <v>5867</v>
      </c>
    </row>
    <row r="31" spans="1:22">
      <c r="A31" s="508">
        <v>42461</v>
      </c>
      <c r="B31" s="602">
        <v>38992.729999999996</v>
      </c>
      <c r="C31" s="602">
        <v>2400.6400000000003</v>
      </c>
      <c r="D31" s="604">
        <v>11581.9</v>
      </c>
      <c r="E31" s="621">
        <v>25010.190000000002</v>
      </c>
      <c r="F31" s="622">
        <f t="shared" si="0"/>
        <v>8.4927214057219438E-2</v>
      </c>
      <c r="G31" s="607"/>
    </row>
    <row r="32" spans="1:22">
      <c r="A32" s="508">
        <v>42491</v>
      </c>
      <c r="B32" s="602">
        <v>38568.28</v>
      </c>
      <c r="C32" s="602">
        <v>2450.66</v>
      </c>
      <c r="D32" s="604">
        <v>10608.47</v>
      </c>
      <c r="E32" s="621">
        <v>25509.15</v>
      </c>
      <c r="F32" s="622">
        <f t="shared" si="0"/>
        <v>-1.088536247654363E-2</v>
      </c>
      <c r="G32" s="607"/>
    </row>
    <row r="33" spans="1:7">
      <c r="A33" s="508">
        <v>42522</v>
      </c>
      <c r="B33" s="602">
        <v>40042.390000000007</v>
      </c>
      <c r="C33" s="602">
        <v>2500.2999999999997</v>
      </c>
      <c r="D33" s="604">
        <v>11550.75</v>
      </c>
      <c r="E33" s="621">
        <v>25991.34</v>
      </c>
      <c r="F33" s="622">
        <f t="shared" si="0"/>
        <v>3.8220786615322432E-2</v>
      </c>
      <c r="G33" s="607"/>
    </row>
    <row r="34" spans="1:7">
      <c r="A34" s="508">
        <v>42552</v>
      </c>
      <c r="B34" s="602">
        <v>41991.170000000006</v>
      </c>
      <c r="C34" s="602">
        <v>2550.0000000000005</v>
      </c>
      <c r="D34" s="604">
        <v>12479.630000000001</v>
      </c>
      <c r="E34" s="621">
        <v>26961.539999999997</v>
      </c>
      <c r="F34" s="622">
        <f t="shared" si="0"/>
        <v>4.8667924167363596E-2</v>
      </c>
      <c r="G34" s="607"/>
    </row>
    <row r="35" spans="1:7">
      <c r="A35" s="508">
        <v>42583</v>
      </c>
      <c r="B35" s="602">
        <v>43010.929999999993</v>
      </c>
      <c r="C35" s="602">
        <v>2600.9900000000007</v>
      </c>
      <c r="D35" s="604">
        <v>12659.63</v>
      </c>
      <c r="E35" s="621">
        <v>27750.309999999998</v>
      </c>
      <c r="F35" s="622">
        <f t="shared" si="0"/>
        <v>2.4285105654355127E-2</v>
      </c>
      <c r="G35" s="607"/>
    </row>
    <row r="36" spans="1:7">
      <c r="A36" s="508">
        <v>42614</v>
      </c>
      <c r="B36" s="602">
        <v>52337.869999999995</v>
      </c>
      <c r="C36" s="602">
        <v>2650.0000000000005</v>
      </c>
      <c r="D36" s="604">
        <v>13404.630000000001</v>
      </c>
      <c r="E36" s="621">
        <v>36283.24</v>
      </c>
      <c r="F36" s="622">
        <f t="shared" si="0"/>
        <v>0.21685046103397448</v>
      </c>
      <c r="G36" s="607"/>
    </row>
    <row r="37" spans="1:7">
      <c r="A37" s="508">
        <v>42644</v>
      </c>
      <c r="B37" s="602">
        <v>54547.500000000007</v>
      </c>
      <c r="C37" s="602">
        <v>2700</v>
      </c>
      <c r="D37" s="604">
        <v>14589.630000000001</v>
      </c>
      <c r="E37" s="621">
        <v>37257.870000000003</v>
      </c>
      <c r="F37" s="622">
        <f t="shared" si="0"/>
        <v>4.2218569460316442E-2</v>
      </c>
      <c r="G37" s="607"/>
    </row>
    <row r="38" spans="1:7">
      <c r="A38" s="508">
        <v>42675</v>
      </c>
      <c r="B38" s="602">
        <v>56251.079999999994</v>
      </c>
      <c r="C38" s="602">
        <v>2750.96</v>
      </c>
      <c r="D38" s="604">
        <v>15614.630000000001</v>
      </c>
      <c r="E38" s="621">
        <v>37885.49</v>
      </c>
      <c r="F38" s="622">
        <f t="shared" si="0"/>
        <v>3.1231128832668535E-2</v>
      </c>
      <c r="G38" s="607"/>
    </row>
    <row r="39" spans="1:7">
      <c r="A39" s="508">
        <v>42705</v>
      </c>
      <c r="B39" s="602">
        <v>57734.430000000008</v>
      </c>
      <c r="C39" s="602">
        <v>2800</v>
      </c>
      <c r="D39" s="604">
        <v>15801.630000000001</v>
      </c>
      <c r="E39" s="621">
        <v>39132.800000000003</v>
      </c>
      <c r="F39" s="622">
        <f t="shared" si="0"/>
        <v>2.6370160359587998E-2</v>
      </c>
      <c r="G39" s="614">
        <f>(B39-B28)/B28</f>
        <v>0.62823732932035015</v>
      </c>
    </row>
    <row r="40" spans="1:7">
      <c r="A40" s="508">
        <v>42736</v>
      </c>
      <c r="B40" s="602">
        <v>59381.57</v>
      </c>
      <c r="C40" s="602">
        <v>2850.38</v>
      </c>
      <c r="D40" s="602">
        <v>16889.63</v>
      </c>
      <c r="E40" s="621">
        <v>39641.56</v>
      </c>
      <c r="F40" s="622">
        <f t="shared" si="0"/>
        <v>2.8529596637569505E-2</v>
      </c>
      <c r="G40" s="509"/>
    </row>
    <row r="41" spans="1:7">
      <c r="A41" s="508">
        <v>42767</v>
      </c>
      <c r="B41" s="602">
        <v>63826.229999999996</v>
      </c>
      <c r="C41" s="602">
        <v>2900.8300000000004</v>
      </c>
      <c r="D41" s="602">
        <v>16027.630000000001</v>
      </c>
      <c r="E41" s="621">
        <v>44897.770000000004</v>
      </c>
      <c r="F41" s="622">
        <f t="shared" si="0"/>
        <v>7.4849149323603203E-2</v>
      </c>
      <c r="G41" s="607"/>
    </row>
    <row r="42" spans="1:7">
      <c r="A42" s="508">
        <v>42795</v>
      </c>
      <c r="B42" s="602">
        <v>67300.78</v>
      </c>
      <c r="C42" s="602">
        <v>2950.76</v>
      </c>
      <c r="D42" s="602">
        <v>18499.63</v>
      </c>
      <c r="E42" s="621">
        <v>45850.39</v>
      </c>
      <c r="F42" s="622">
        <f t="shared" si="0"/>
        <v>5.4437650476927793E-2</v>
      </c>
      <c r="G42" s="607"/>
    </row>
    <row r="43" spans="1:7">
      <c r="A43" s="508">
        <v>42826</v>
      </c>
      <c r="B43" s="602">
        <v>69374.700000000012</v>
      </c>
      <c r="C43" s="602">
        <v>3000</v>
      </c>
      <c r="D43" s="602">
        <v>19744.63</v>
      </c>
      <c r="E43" s="621">
        <v>46630.070000000007</v>
      </c>
      <c r="F43" s="622">
        <f t="shared" si="0"/>
        <v>3.0815690397644913E-2</v>
      </c>
      <c r="G43" s="607"/>
    </row>
    <row r="44" spans="1:7">
      <c r="A44" s="508">
        <v>42856</v>
      </c>
      <c r="B44" s="602">
        <v>70547.820000000007</v>
      </c>
      <c r="C44" s="602">
        <v>3050</v>
      </c>
      <c r="D44" s="602">
        <v>19884.63</v>
      </c>
      <c r="E44" s="621">
        <v>47613.19</v>
      </c>
      <c r="F44" s="622">
        <f t="shared" si="0"/>
        <v>1.6909910961777061E-2</v>
      </c>
      <c r="G44" s="607"/>
    </row>
    <row r="45" spans="1:7">
      <c r="A45" s="508">
        <v>42887</v>
      </c>
      <c r="B45" s="602">
        <v>72552.12000000001</v>
      </c>
      <c r="C45" s="602">
        <v>3100</v>
      </c>
      <c r="D45" s="602">
        <v>20709.63</v>
      </c>
      <c r="E45" s="621">
        <v>48742.490000000005</v>
      </c>
      <c r="F45" s="622">
        <f t="shared" si="0"/>
        <v>2.841051644118844E-2</v>
      </c>
      <c r="G45" s="607"/>
    </row>
    <row r="46" spans="1:7">
      <c r="A46" s="508">
        <v>42917</v>
      </c>
      <c r="B46" s="602">
        <v>74761.81</v>
      </c>
      <c r="C46" s="602">
        <v>3150</v>
      </c>
      <c r="D46" s="602">
        <v>21708.75</v>
      </c>
      <c r="E46" s="621">
        <v>49903.060000000005</v>
      </c>
      <c r="F46" s="622">
        <f t="shared" si="0"/>
        <v>3.04565876228012E-2</v>
      </c>
      <c r="G46" s="607"/>
    </row>
    <row r="47" spans="1:7">
      <c r="A47" s="508">
        <v>42948</v>
      </c>
      <c r="B47" s="602">
        <v>75832.990000000005</v>
      </c>
      <c r="C47" s="602">
        <v>3200.05</v>
      </c>
      <c r="D47" s="602">
        <v>20184</v>
      </c>
      <c r="E47" s="621">
        <v>52448.939999999995</v>
      </c>
      <c r="F47" s="622">
        <f t="shared" si="0"/>
        <v>1.4327903511164424E-2</v>
      </c>
      <c r="G47" s="607"/>
    </row>
    <row r="48" spans="1:7">
      <c r="A48" s="508">
        <v>42979</v>
      </c>
      <c r="B48" s="602">
        <v>77967.44</v>
      </c>
      <c r="C48" s="602">
        <v>3250</v>
      </c>
      <c r="D48" s="602">
        <v>20815</v>
      </c>
      <c r="E48" s="621">
        <v>53902.44</v>
      </c>
      <c r="F48" s="622">
        <f t="shared" si="0"/>
        <v>2.8146720840098709E-2</v>
      </c>
      <c r="G48" s="607"/>
    </row>
    <row r="49" spans="1:7">
      <c r="A49" s="508">
        <v>43009</v>
      </c>
      <c r="B49" s="602">
        <v>82843.960000000006</v>
      </c>
      <c r="C49" s="602">
        <v>3300</v>
      </c>
      <c r="D49" s="602">
        <v>24552.190000000002</v>
      </c>
      <c r="E49" s="621">
        <v>54991.77</v>
      </c>
      <c r="F49" s="622">
        <f t="shared" si="0"/>
        <v>6.2545595956465985E-2</v>
      </c>
      <c r="G49" s="607"/>
    </row>
    <row r="50" spans="1:7">
      <c r="A50" s="508">
        <v>43040</v>
      </c>
      <c r="B50" s="602">
        <v>84258.729999999981</v>
      </c>
      <c r="C50" s="602">
        <v>3350.9300000000003</v>
      </c>
      <c r="D50" s="602">
        <v>24672.29</v>
      </c>
      <c r="E50" s="621">
        <v>56235.509999999995</v>
      </c>
      <c r="F50" s="622">
        <f t="shared" si="0"/>
        <v>1.7077527438330745E-2</v>
      </c>
      <c r="G50" s="607"/>
    </row>
    <row r="51" spans="1:7">
      <c r="A51" s="508">
        <v>43070</v>
      </c>
      <c r="B51" s="602">
        <v>83360.539999999994</v>
      </c>
      <c r="C51" s="602">
        <v>3400.2100000000005</v>
      </c>
      <c r="D51" s="602">
        <v>23016.29</v>
      </c>
      <c r="E51" s="621">
        <v>56944.039999999994</v>
      </c>
      <c r="F51" s="622">
        <f t="shared" si="0"/>
        <v>-1.0659904320893372E-2</v>
      </c>
      <c r="G51" s="614">
        <f>(B51-B40)/B40</f>
        <v>0.40381165401992564</v>
      </c>
    </row>
    <row r="52" spans="1:7">
      <c r="A52" s="508">
        <v>43101</v>
      </c>
      <c r="B52" s="602">
        <v>88002.01</v>
      </c>
      <c r="C52" s="603">
        <v>3450.7200000000007</v>
      </c>
      <c r="D52" s="604">
        <v>24254.29</v>
      </c>
      <c r="E52" s="621">
        <v>60297.000000000007</v>
      </c>
      <c r="F52" s="622">
        <f t="shared" si="0"/>
        <v>5.5679461769321571E-2</v>
      </c>
      <c r="G52" s="509"/>
    </row>
    <row r="53" spans="1:7">
      <c r="A53" s="508">
        <v>43132</v>
      </c>
      <c r="B53" s="602">
        <v>89676.12</v>
      </c>
      <c r="C53" s="603">
        <v>3500.6600000000008</v>
      </c>
      <c r="D53" s="604">
        <v>24985.29</v>
      </c>
      <c r="E53" s="621">
        <v>61190.17</v>
      </c>
      <c r="F53" s="622">
        <f t="shared" si="0"/>
        <v>1.9023542757716564E-2</v>
      </c>
      <c r="G53" s="607"/>
    </row>
    <row r="54" spans="1:7">
      <c r="A54" s="508">
        <v>43160</v>
      </c>
      <c r="B54" s="602">
        <v>91419.650000000009</v>
      </c>
      <c r="C54" s="603">
        <v>3550.6600000000008</v>
      </c>
      <c r="D54" s="604">
        <v>27085.29</v>
      </c>
      <c r="E54" s="621">
        <v>60783.7</v>
      </c>
      <c r="F54" s="622">
        <f t="shared" si="0"/>
        <v>1.9442522713962351E-2</v>
      </c>
      <c r="G54" s="607"/>
    </row>
    <row r="55" spans="1:7">
      <c r="A55" s="508">
        <v>43191</v>
      </c>
      <c r="B55" s="602">
        <v>93461.5</v>
      </c>
      <c r="C55" s="603">
        <v>3600.6600000000008</v>
      </c>
      <c r="D55" s="604">
        <v>28235.29</v>
      </c>
      <c r="E55" s="621">
        <v>61625.549999999996</v>
      </c>
      <c r="F55" s="622">
        <f t="shared" si="0"/>
        <v>2.2334913774008008E-2</v>
      </c>
      <c r="G55" s="607"/>
    </row>
    <row r="56" spans="1:7">
      <c r="A56" s="508">
        <v>43221</v>
      </c>
      <c r="B56" s="602">
        <v>94707.96</v>
      </c>
      <c r="C56" s="603">
        <v>3650.7300000000005</v>
      </c>
      <c r="D56" s="604">
        <v>28310.29</v>
      </c>
      <c r="E56" s="621">
        <v>62746.939999999995</v>
      </c>
      <c r="F56" s="622">
        <f t="shared" si="0"/>
        <v>1.3336614541816753E-2</v>
      </c>
      <c r="G56" s="607"/>
    </row>
    <row r="57" spans="1:7">
      <c r="A57" s="508">
        <v>43252</v>
      </c>
      <c r="B57" s="602">
        <v>95737.19</v>
      </c>
      <c r="C57" s="603">
        <v>3700.0000000000005</v>
      </c>
      <c r="D57" s="604">
        <v>28185.29</v>
      </c>
      <c r="E57" s="621">
        <v>63851.899999999994</v>
      </c>
      <c r="F57" s="622">
        <f t="shared" si="0"/>
        <v>1.0867407554760929E-2</v>
      </c>
      <c r="G57" s="607"/>
    </row>
    <row r="58" spans="1:7">
      <c r="A58" s="508">
        <v>43282</v>
      </c>
      <c r="B58" s="602">
        <v>97583.59</v>
      </c>
      <c r="C58" s="603">
        <v>3750.4100000000008</v>
      </c>
      <c r="D58" s="604">
        <v>28895.29</v>
      </c>
      <c r="E58" s="621">
        <v>64937.89</v>
      </c>
      <c r="F58" s="622">
        <f t="shared" si="0"/>
        <v>1.9286131126263411E-2</v>
      </c>
      <c r="G58" s="607"/>
    </row>
    <row r="59" spans="1:7">
      <c r="A59" s="508">
        <v>43313</v>
      </c>
      <c r="B59" s="602">
        <v>99555.400000000009</v>
      </c>
      <c r="C59" s="603">
        <v>3800.420000000001</v>
      </c>
      <c r="D59" s="604">
        <v>29470.29</v>
      </c>
      <c r="E59" s="621">
        <v>66284.69</v>
      </c>
      <c r="F59" s="622">
        <f t="shared" si="0"/>
        <v>2.0206368714248087E-2</v>
      </c>
      <c r="G59" s="607"/>
    </row>
    <row r="60" spans="1:7">
      <c r="A60" s="508">
        <v>43344</v>
      </c>
      <c r="B60" s="602">
        <v>100370.47</v>
      </c>
      <c r="C60" s="603">
        <v>3850.0000000000014</v>
      </c>
      <c r="D60" s="604">
        <v>28947.29</v>
      </c>
      <c r="E60" s="621">
        <v>67573.179999999993</v>
      </c>
      <c r="F60" s="622">
        <f t="shared" si="0"/>
        <v>8.1870998459148605E-3</v>
      </c>
      <c r="G60" s="607"/>
    </row>
    <row r="61" spans="1:7">
      <c r="A61" s="508">
        <v>43374</v>
      </c>
      <c r="B61" s="602">
        <v>101868.64</v>
      </c>
      <c r="C61" s="603">
        <v>3900.0000000000014</v>
      </c>
      <c r="D61" s="604">
        <v>30085.29</v>
      </c>
      <c r="E61" s="621">
        <v>67883.349999999991</v>
      </c>
      <c r="F61" s="622">
        <f t="shared" si="0"/>
        <v>1.4926402157925516E-2</v>
      </c>
      <c r="G61" s="607"/>
    </row>
    <row r="62" spans="1:7">
      <c r="A62" s="508">
        <v>43405</v>
      </c>
      <c r="B62" s="602">
        <v>102746.66</v>
      </c>
      <c r="C62" s="603">
        <v>3950.0000000000009</v>
      </c>
      <c r="D62" s="604">
        <v>30735.29</v>
      </c>
      <c r="E62" s="621">
        <v>68061.37</v>
      </c>
      <c r="F62" s="622">
        <f t="shared" si="0"/>
        <v>8.6191393151023137E-3</v>
      </c>
      <c r="G62" s="607"/>
    </row>
    <row r="63" spans="1:7">
      <c r="A63" s="508">
        <v>43435</v>
      </c>
      <c r="B63" s="602">
        <v>103815.63</v>
      </c>
      <c r="C63" s="603">
        <v>4000</v>
      </c>
      <c r="D63" s="604">
        <v>31410.29</v>
      </c>
      <c r="E63" s="621">
        <v>68405.34</v>
      </c>
      <c r="F63" s="622">
        <f t="shared" si="0"/>
        <v>1.040393916454317E-2</v>
      </c>
      <c r="G63" s="614">
        <f>(B63-B52)/B52</f>
        <v>0.1796961228499214</v>
      </c>
    </row>
    <row r="64" spans="1:7">
      <c r="A64" s="508">
        <v>43466</v>
      </c>
      <c r="B64" s="602">
        <v>103701.28</v>
      </c>
      <c r="C64" s="603">
        <v>4050</v>
      </c>
      <c r="D64" s="604">
        <v>32036.29</v>
      </c>
      <c r="E64" s="621">
        <v>67614.989999999991</v>
      </c>
      <c r="F64" s="622">
        <f t="shared" si="0"/>
        <v>-1.1014719074575361E-3</v>
      </c>
      <c r="G64" s="509"/>
    </row>
    <row r="65" spans="1:9">
      <c r="A65" s="508">
        <v>43497</v>
      </c>
      <c r="B65" s="602">
        <v>111548.5</v>
      </c>
      <c r="C65" s="603">
        <v>4100</v>
      </c>
      <c r="D65" s="604">
        <v>31526.29</v>
      </c>
      <c r="E65" s="621">
        <v>75922.209999999992</v>
      </c>
      <c r="F65" s="622">
        <f t="shared" si="0"/>
        <v>7.5671389977057191E-2</v>
      </c>
      <c r="G65" s="607"/>
    </row>
    <row r="66" spans="1:9">
      <c r="A66" s="508">
        <v>43525</v>
      </c>
      <c r="B66" s="602">
        <v>115410.87000000001</v>
      </c>
      <c r="C66" s="603">
        <v>4150</v>
      </c>
      <c r="D66" s="604">
        <v>33652.04</v>
      </c>
      <c r="E66" s="621">
        <v>77608.83</v>
      </c>
      <c r="F66" s="622">
        <f t="shared" si="0"/>
        <v>3.4625028575014545E-2</v>
      </c>
      <c r="G66" s="607"/>
    </row>
    <row r="67" spans="1:9">
      <c r="A67" s="508">
        <v>43556</v>
      </c>
      <c r="B67" s="602">
        <v>117380.3</v>
      </c>
      <c r="C67" s="603">
        <v>4200</v>
      </c>
      <c r="D67" s="604">
        <v>34977.06</v>
      </c>
      <c r="E67" s="621">
        <v>78203.240000000005</v>
      </c>
      <c r="F67" s="622">
        <f t="shared" si="0"/>
        <v>1.7064510474619876E-2</v>
      </c>
      <c r="G67" s="607"/>
    </row>
    <row r="68" spans="1:9">
      <c r="A68" s="508">
        <v>43586</v>
      </c>
      <c r="B68" s="602">
        <v>122448.72</v>
      </c>
      <c r="C68" s="603">
        <v>4250</v>
      </c>
      <c r="D68" s="604">
        <v>41052.75</v>
      </c>
      <c r="E68" s="621">
        <v>77145.97</v>
      </c>
      <c r="F68" s="622">
        <f t="shared" si="0"/>
        <v>4.317947730581706E-2</v>
      </c>
      <c r="G68" s="607"/>
    </row>
    <row r="69" spans="1:9">
      <c r="A69" s="508">
        <v>43617</v>
      </c>
      <c r="B69" s="602">
        <v>126326.14000000001</v>
      </c>
      <c r="C69" s="603">
        <v>4300.29</v>
      </c>
      <c r="D69" s="604">
        <v>42377.75</v>
      </c>
      <c r="E69" s="621">
        <v>79648.100000000006</v>
      </c>
      <c r="F69" s="622">
        <f t="shared" si="0"/>
        <v>3.166566379787402E-2</v>
      </c>
      <c r="G69" s="607"/>
    </row>
    <row r="70" spans="1:9">
      <c r="A70" s="508">
        <v>43647</v>
      </c>
      <c r="B70" s="602">
        <v>127607.85000000002</v>
      </c>
      <c r="C70" s="603">
        <v>4350.29</v>
      </c>
      <c r="D70" s="604">
        <v>39068.75</v>
      </c>
      <c r="E70" s="621">
        <v>84188.810000000012</v>
      </c>
      <c r="F70" s="622">
        <f t="shared" ref="F70:G133" si="2">(B70-B69)/B69</f>
        <v>1.0146039449950787E-2</v>
      </c>
      <c r="G70" s="607"/>
    </row>
    <row r="71" spans="1:9">
      <c r="A71" s="508">
        <v>43678</v>
      </c>
      <c r="B71" s="602">
        <v>125854.18000000001</v>
      </c>
      <c r="C71" s="603">
        <v>4400.58</v>
      </c>
      <c r="D71" s="604">
        <v>40156.75</v>
      </c>
      <c r="E71" s="621">
        <v>81296.850000000006</v>
      </c>
      <c r="F71" s="622">
        <f t="shared" si="2"/>
        <v>-1.3742649844817639E-2</v>
      </c>
      <c r="G71" s="607"/>
    </row>
    <row r="72" spans="1:9">
      <c r="A72" s="508">
        <v>43709</v>
      </c>
      <c r="B72" s="602">
        <v>128779.55000000002</v>
      </c>
      <c r="C72" s="603">
        <v>4450.58</v>
      </c>
      <c r="D72" s="604">
        <v>41081.75</v>
      </c>
      <c r="E72" s="621">
        <v>83247.220000000016</v>
      </c>
      <c r="F72" s="622">
        <f t="shared" si="2"/>
        <v>2.3244122682297957E-2</v>
      </c>
      <c r="G72" s="607"/>
    </row>
    <row r="73" spans="1:9">
      <c r="A73" s="508">
        <v>43739</v>
      </c>
      <c r="B73" s="602">
        <v>134475.75</v>
      </c>
      <c r="C73" s="603">
        <v>4500</v>
      </c>
      <c r="D73" s="604">
        <v>43865.9</v>
      </c>
      <c r="E73" s="621">
        <v>86109.85</v>
      </c>
      <c r="F73" s="622">
        <f t="shared" si="2"/>
        <v>4.4232178168039739E-2</v>
      </c>
      <c r="G73" s="607"/>
    </row>
    <row r="74" spans="1:9">
      <c r="A74" s="508">
        <v>43770</v>
      </c>
      <c r="B74" s="602">
        <v>136040.93</v>
      </c>
      <c r="C74" s="603">
        <v>4550</v>
      </c>
      <c r="D74" s="604">
        <v>44645.08</v>
      </c>
      <c r="E74" s="621">
        <v>86845.85</v>
      </c>
      <c r="F74" s="622">
        <f t="shared" si="2"/>
        <v>1.1639124526169164E-2</v>
      </c>
      <c r="G74" s="607"/>
    </row>
    <row r="75" spans="1:9">
      <c r="A75" s="508">
        <v>43800</v>
      </c>
      <c r="B75" s="602">
        <v>136087.78000000003</v>
      </c>
      <c r="C75" s="603">
        <v>4600</v>
      </c>
      <c r="D75" s="604">
        <v>43453.9</v>
      </c>
      <c r="E75" s="621">
        <v>88033.880000000019</v>
      </c>
      <c r="F75" s="622">
        <f t="shared" si="2"/>
        <v>3.4438165043443124E-4</v>
      </c>
      <c r="G75" s="614">
        <f>(B75-B64)/B64</f>
        <v>0.31230569188731355</v>
      </c>
    </row>
    <row r="76" spans="1:9">
      <c r="A76" s="508">
        <v>43831</v>
      </c>
      <c r="B76" s="602">
        <v>143371.09333333335</v>
      </c>
      <c r="C76" s="603">
        <v>4650.003333333334</v>
      </c>
      <c r="D76" s="604">
        <v>43623.9</v>
      </c>
      <c r="E76" s="621">
        <v>95097.19</v>
      </c>
      <c r="F76" s="622">
        <f t="shared" si="2"/>
        <v>5.3519230994387025E-2</v>
      </c>
      <c r="G76" s="509"/>
    </row>
    <row r="77" spans="1:9">
      <c r="A77" s="508">
        <v>43862</v>
      </c>
      <c r="B77" s="602">
        <v>145478.28333333335</v>
      </c>
      <c r="C77" s="603">
        <v>4700.003333333334</v>
      </c>
      <c r="D77" s="604">
        <v>45745.9</v>
      </c>
      <c r="E77" s="621">
        <v>95032.38</v>
      </c>
      <c r="F77" s="622">
        <f t="shared" si="2"/>
        <v>1.4697453656859901E-2</v>
      </c>
      <c r="G77" s="607"/>
      <c r="I77" s="134"/>
    </row>
    <row r="78" spans="1:9">
      <c r="A78" s="508">
        <v>43891</v>
      </c>
      <c r="B78" s="602">
        <v>148894.11333333334</v>
      </c>
      <c r="C78" s="603">
        <v>4750.003333333334</v>
      </c>
      <c r="D78" s="604">
        <v>46820.08</v>
      </c>
      <c r="E78" s="621">
        <v>97324.03</v>
      </c>
      <c r="F78" s="622">
        <f t="shared" si="2"/>
        <v>2.3479999363020528E-2</v>
      </c>
      <c r="G78" s="607"/>
      <c r="I78" s="134"/>
    </row>
    <row r="79" spans="1:9">
      <c r="A79" s="508">
        <v>43922</v>
      </c>
      <c r="B79" s="602">
        <v>151665.39333333334</v>
      </c>
      <c r="C79" s="603">
        <v>4800.6433333333334</v>
      </c>
      <c r="D79" s="604">
        <v>49594</v>
      </c>
      <c r="E79" s="621">
        <v>97270.75</v>
      </c>
      <c r="F79" s="622">
        <f t="shared" si="2"/>
        <v>1.8612421525328261E-2</v>
      </c>
      <c r="G79" s="607"/>
    </row>
    <row r="80" spans="1:9">
      <c r="A80" s="508">
        <v>43952</v>
      </c>
      <c r="B80" s="602">
        <v>166271.39000000001</v>
      </c>
      <c r="C80" s="603">
        <v>4850</v>
      </c>
      <c r="D80" s="604">
        <v>57238</v>
      </c>
      <c r="E80" s="621">
        <v>104183.39000000001</v>
      </c>
      <c r="F80" s="622">
        <f t="shared" si="2"/>
        <v>9.6304083256259471E-2</v>
      </c>
      <c r="G80" s="607"/>
    </row>
    <row r="81" spans="1:7">
      <c r="A81" s="508">
        <v>43983</v>
      </c>
      <c r="B81" s="602">
        <v>170080.15000000002</v>
      </c>
      <c r="C81" s="603">
        <v>4900</v>
      </c>
      <c r="D81" s="604">
        <v>58963</v>
      </c>
      <c r="E81" s="621">
        <v>106217.15000000001</v>
      </c>
      <c r="F81" s="622">
        <f t="shared" si="2"/>
        <v>2.2906887348448875E-2</v>
      </c>
      <c r="G81" s="607"/>
    </row>
    <row r="82" spans="1:7">
      <c r="A82" s="508">
        <v>44013</v>
      </c>
      <c r="B82" s="602">
        <v>177535.14</v>
      </c>
      <c r="C82" s="603">
        <v>4950</v>
      </c>
      <c r="D82" s="604">
        <v>60634.770000000004</v>
      </c>
      <c r="E82" s="621">
        <v>111950.37000000001</v>
      </c>
      <c r="F82" s="622">
        <f t="shared" si="2"/>
        <v>4.3832216751925432E-2</v>
      </c>
      <c r="G82" s="607"/>
    </row>
    <row r="83" spans="1:7">
      <c r="A83" s="508">
        <v>44044</v>
      </c>
      <c r="B83" s="602">
        <v>182809.5</v>
      </c>
      <c r="C83" s="603">
        <v>5000</v>
      </c>
      <c r="D83" s="604">
        <v>60676.58</v>
      </c>
      <c r="E83" s="621">
        <v>117132.92000000001</v>
      </c>
      <c r="F83" s="622">
        <f t="shared" si="2"/>
        <v>2.9708822715322644E-2</v>
      </c>
      <c r="G83" s="607"/>
    </row>
    <row r="84" spans="1:7">
      <c r="A84" s="508">
        <v>44075</v>
      </c>
      <c r="B84" s="602">
        <v>185072.62</v>
      </c>
      <c r="C84" s="603">
        <v>5050</v>
      </c>
      <c r="D84" s="604">
        <v>61577.58</v>
      </c>
      <c r="E84" s="621">
        <v>118445.04000000001</v>
      </c>
      <c r="F84" s="622">
        <f t="shared" si="2"/>
        <v>1.237966298250362E-2</v>
      </c>
      <c r="G84" s="607"/>
    </row>
    <row r="85" spans="1:7">
      <c r="A85" s="508">
        <v>44105</v>
      </c>
      <c r="B85" s="602">
        <v>189313</v>
      </c>
      <c r="C85" s="603">
        <v>5100</v>
      </c>
      <c r="D85" s="604">
        <v>63123.360000000001</v>
      </c>
      <c r="E85" s="621">
        <v>121089.64000000001</v>
      </c>
      <c r="F85" s="622">
        <f t="shared" si="2"/>
        <v>2.2911979092315248E-2</v>
      </c>
      <c r="G85" s="607"/>
    </row>
    <row r="86" spans="1:7">
      <c r="A86" s="508">
        <v>44136</v>
      </c>
      <c r="B86" s="602">
        <v>189702</v>
      </c>
      <c r="C86" s="603">
        <v>5150</v>
      </c>
      <c r="D86" s="604">
        <v>53932.22</v>
      </c>
      <c r="E86" s="621">
        <v>130619.78</v>
      </c>
      <c r="F86" s="622">
        <f t="shared" si="2"/>
        <v>2.0547981385324833E-3</v>
      </c>
      <c r="G86" s="607"/>
    </row>
    <row r="87" spans="1:7">
      <c r="A87" s="508">
        <v>44166</v>
      </c>
      <c r="B87" s="602">
        <v>182996.97</v>
      </c>
      <c r="C87" s="603">
        <v>5200</v>
      </c>
      <c r="D87" s="604">
        <v>42043.91</v>
      </c>
      <c r="E87" s="621">
        <v>135753.06</v>
      </c>
      <c r="F87" s="622">
        <f t="shared" si="2"/>
        <v>-3.5345067526963335E-2</v>
      </c>
      <c r="G87" s="614">
        <f>(B87-B76)/B76</f>
        <v>0.27638679280025935</v>
      </c>
    </row>
    <row r="88" spans="1:7">
      <c r="A88" s="508">
        <v>44217</v>
      </c>
      <c r="B88" s="602">
        <v>202970.41</v>
      </c>
      <c r="C88" s="603">
        <v>5250</v>
      </c>
      <c r="D88" s="604">
        <v>42924.91</v>
      </c>
      <c r="E88" s="621">
        <v>154795.5</v>
      </c>
      <c r="F88" s="622">
        <f t="shared" si="2"/>
        <v>0.10914628805056173</v>
      </c>
      <c r="G88" s="509"/>
    </row>
    <row r="89" spans="1:7">
      <c r="A89" s="508">
        <v>44248</v>
      </c>
      <c r="B89" s="602">
        <v>209736.35</v>
      </c>
      <c r="C89" s="603">
        <v>5300</v>
      </c>
      <c r="D89" s="604">
        <v>42164.91</v>
      </c>
      <c r="E89" s="621">
        <v>162271.44</v>
      </c>
      <c r="F89" s="622">
        <f t="shared" si="2"/>
        <v>3.3334612665954617E-2</v>
      </c>
      <c r="G89" s="607"/>
    </row>
    <row r="90" spans="1:7">
      <c r="A90" s="508">
        <v>44276</v>
      </c>
      <c r="B90" s="602">
        <v>217852.64</v>
      </c>
      <c r="C90" s="603">
        <v>5350</v>
      </c>
      <c r="D90" s="604">
        <v>46891.73</v>
      </c>
      <c r="E90" s="621">
        <v>165610.91</v>
      </c>
      <c r="F90" s="622">
        <f t="shared" si="2"/>
        <v>3.8697583895209428E-2</v>
      </c>
      <c r="G90" s="607"/>
    </row>
    <row r="91" spans="1:7">
      <c r="A91" s="508">
        <v>44307</v>
      </c>
      <c r="B91" s="602">
        <v>228506.33</v>
      </c>
      <c r="C91" s="603">
        <v>5400</v>
      </c>
      <c r="D91" s="604">
        <v>42824</v>
      </c>
      <c r="E91" s="621">
        <v>180282.33</v>
      </c>
      <c r="F91" s="622">
        <f t="shared" si="2"/>
        <v>4.8903194379466657E-2</v>
      </c>
      <c r="G91" s="607"/>
    </row>
    <row r="92" spans="1:7">
      <c r="A92" s="508">
        <v>44337</v>
      </c>
      <c r="B92" s="602">
        <v>235452.41999999998</v>
      </c>
      <c r="C92" s="603">
        <v>5450</v>
      </c>
      <c r="D92" s="604">
        <v>42932.22</v>
      </c>
      <c r="E92" s="621">
        <v>187070.19999999998</v>
      </c>
      <c r="F92" s="622">
        <f t="shared" si="2"/>
        <v>3.0397801233777624E-2</v>
      </c>
      <c r="G92" s="607"/>
    </row>
    <row r="93" spans="1:7">
      <c r="A93" s="508">
        <v>44368</v>
      </c>
      <c r="B93" s="602">
        <v>238023.38999999998</v>
      </c>
      <c r="C93" s="603">
        <v>5500.0000000000009</v>
      </c>
      <c r="D93" s="604">
        <v>43957.22</v>
      </c>
      <c r="E93" s="621">
        <v>188566.16999999998</v>
      </c>
      <c r="F93" s="622">
        <f t="shared" si="2"/>
        <v>1.0919276174778758E-2</v>
      </c>
      <c r="G93" s="607"/>
    </row>
    <row r="94" spans="1:7">
      <c r="A94" s="508">
        <v>44398</v>
      </c>
      <c r="B94" s="602">
        <v>241929.56</v>
      </c>
      <c r="C94" s="603">
        <v>5550.0000000000009</v>
      </c>
      <c r="D94" s="604">
        <v>44469.98</v>
      </c>
      <c r="E94" s="621">
        <v>191909.58</v>
      </c>
      <c r="F94" s="622">
        <f t="shared" si="2"/>
        <v>1.6410866175798997E-2</v>
      </c>
      <c r="G94" s="607"/>
    </row>
    <row r="95" spans="1:7">
      <c r="A95" s="508">
        <v>44429</v>
      </c>
      <c r="B95" s="602">
        <v>339896.92</v>
      </c>
      <c r="C95" s="603">
        <v>5600</v>
      </c>
      <c r="D95" s="604">
        <v>135439.03</v>
      </c>
      <c r="E95" s="621">
        <v>198857.88999999998</v>
      </c>
      <c r="F95" s="622">
        <f t="shared" si="2"/>
        <v>0.40494166979843216</v>
      </c>
      <c r="G95" s="607"/>
    </row>
    <row r="96" spans="1:7">
      <c r="A96" s="508">
        <v>44460</v>
      </c>
      <c r="B96" s="602">
        <v>327743.53000000003</v>
      </c>
      <c r="C96" s="603">
        <v>5906.6100000000015</v>
      </c>
      <c r="D96" s="604">
        <v>124810.03</v>
      </c>
      <c r="E96" s="621">
        <v>197026.88999999998</v>
      </c>
      <c r="F96" s="622">
        <f t="shared" si="2"/>
        <v>-3.5756105115633166E-2</v>
      </c>
      <c r="G96" s="607"/>
    </row>
    <row r="97" spans="1:7">
      <c r="A97" s="508">
        <v>44490</v>
      </c>
      <c r="B97" s="602">
        <v>339672.38999999996</v>
      </c>
      <c r="C97" s="603">
        <v>6024.7700000000032</v>
      </c>
      <c r="D97" s="604">
        <v>119636.41</v>
      </c>
      <c r="E97" s="621">
        <v>214011.21</v>
      </c>
      <c r="F97" s="622">
        <f t="shared" si="2"/>
        <v>3.6396935127902985E-2</v>
      </c>
      <c r="G97" s="607"/>
    </row>
    <row r="98" spans="1:7">
      <c r="A98" s="508">
        <v>44521</v>
      </c>
      <c r="B98" s="602">
        <v>360809.39</v>
      </c>
      <c r="C98" s="603">
        <v>6509.7700000000023</v>
      </c>
      <c r="D98" s="604">
        <v>133361.41</v>
      </c>
      <c r="E98" s="621">
        <v>220938.21</v>
      </c>
      <c r="F98" s="622">
        <f t="shared" si="2"/>
        <v>6.2227607018633634E-2</v>
      </c>
      <c r="G98" s="607"/>
    </row>
    <row r="99" spans="1:7">
      <c r="A99" s="508">
        <v>44551</v>
      </c>
      <c r="B99" s="602">
        <v>361300.74</v>
      </c>
      <c r="C99" s="603">
        <v>6609</v>
      </c>
      <c r="D99" s="604">
        <v>130315.36000000002</v>
      </c>
      <c r="E99" s="621">
        <v>224376.38</v>
      </c>
      <c r="F99" s="622">
        <f t="shared" si="2"/>
        <v>1.3617993700218742E-3</v>
      </c>
      <c r="G99" s="614">
        <f>(B99-B88)/B88</f>
        <v>0.7800660697290801</v>
      </c>
    </row>
    <row r="100" spans="1:7">
      <c r="A100" s="508">
        <v>44562</v>
      </c>
      <c r="B100" s="602">
        <v>374494.79000000004</v>
      </c>
      <c r="C100" s="603">
        <v>8071</v>
      </c>
      <c r="D100" s="604">
        <v>134313.16</v>
      </c>
      <c r="E100" s="621">
        <v>232110.63</v>
      </c>
      <c r="F100" s="622">
        <f t="shared" si="2"/>
        <v>3.6518192572758214E-2</v>
      </c>
      <c r="G100" s="509"/>
    </row>
    <row r="101" spans="1:7">
      <c r="A101" s="508">
        <v>44593</v>
      </c>
      <c r="B101" s="602">
        <v>382192.76</v>
      </c>
      <c r="C101" s="603">
        <v>8509</v>
      </c>
      <c r="D101" s="604">
        <v>139417.36000000002</v>
      </c>
      <c r="E101" s="621">
        <v>234266.40000000002</v>
      </c>
      <c r="F101" s="622">
        <f t="shared" si="2"/>
        <v>2.0555613070077614E-2</v>
      </c>
      <c r="G101" s="607"/>
    </row>
    <row r="102" spans="1:7">
      <c r="A102" s="508">
        <v>44621</v>
      </c>
      <c r="B102" s="602">
        <v>389681.92000000004</v>
      </c>
      <c r="C102" s="603">
        <v>8759</v>
      </c>
      <c r="D102" s="604">
        <v>144893.29</v>
      </c>
      <c r="E102" s="621">
        <v>236029.63</v>
      </c>
      <c r="F102" s="622">
        <f t="shared" si="2"/>
        <v>1.9595242986811243E-2</v>
      </c>
      <c r="G102" s="607"/>
    </row>
    <row r="103" spans="1:7">
      <c r="A103" s="508">
        <v>44652</v>
      </c>
      <c r="B103" s="602">
        <v>453439.83</v>
      </c>
      <c r="C103" s="603">
        <v>9209</v>
      </c>
      <c r="D103" s="604">
        <v>152098.29</v>
      </c>
      <c r="E103" s="621">
        <v>292132.53999999998</v>
      </c>
      <c r="F103" s="622">
        <f t="shared" si="2"/>
        <v>0.16361526344357974</v>
      </c>
      <c r="G103" s="607"/>
    </row>
    <row r="104" spans="1:7">
      <c r="A104" s="508">
        <v>44682</v>
      </c>
      <c r="B104" s="602">
        <v>461174.03</v>
      </c>
      <c r="C104" s="603">
        <v>10245</v>
      </c>
      <c r="D104" s="604">
        <v>156123.29</v>
      </c>
      <c r="E104" s="621">
        <v>294805.74</v>
      </c>
      <c r="F104" s="622">
        <f t="shared" si="2"/>
        <v>1.7056728342545496E-2</v>
      </c>
      <c r="G104" s="607"/>
    </row>
    <row r="105" spans="1:7">
      <c r="A105" s="508">
        <v>44713</v>
      </c>
      <c r="B105" s="602">
        <v>466710.86000000004</v>
      </c>
      <c r="C105" s="603">
        <v>10510</v>
      </c>
      <c r="D105" s="604">
        <v>159848.29</v>
      </c>
      <c r="E105" s="621">
        <v>296352.57</v>
      </c>
      <c r="F105" s="622">
        <f t="shared" si="2"/>
        <v>1.2005944914114127E-2</v>
      </c>
      <c r="G105" s="607"/>
    </row>
    <row r="106" spans="1:7">
      <c r="A106" s="508">
        <v>44743</v>
      </c>
      <c r="B106" s="602">
        <v>468172.14</v>
      </c>
      <c r="C106" s="603">
        <v>10960</v>
      </c>
      <c r="D106" s="604">
        <v>158405.51</v>
      </c>
      <c r="E106" s="621">
        <v>298806.63</v>
      </c>
      <c r="F106" s="622">
        <f t="shared" si="2"/>
        <v>3.1310177783306125E-3</v>
      </c>
      <c r="G106" s="607"/>
    </row>
    <row r="107" spans="1:7">
      <c r="A107" s="508">
        <v>44774</v>
      </c>
      <c r="B107" s="602">
        <v>472366.96</v>
      </c>
      <c r="C107" s="603">
        <v>10072.81</v>
      </c>
      <c r="D107" s="604">
        <v>161735.51</v>
      </c>
      <c r="E107" s="621">
        <v>300558.64</v>
      </c>
      <c r="F107" s="622">
        <f t="shared" si="2"/>
        <v>8.9599949283611941E-3</v>
      </c>
      <c r="G107" s="607"/>
    </row>
    <row r="108" spans="1:7">
      <c r="A108" s="508">
        <v>44805</v>
      </c>
      <c r="B108" s="602">
        <v>478379.2</v>
      </c>
      <c r="C108" s="603">
        <v>8600</v>
      </c>
      <c r="D108" s="604">
        <v>168011.51</v>
      </c>
      <c r="E108" s="621">
        <v>301767.69</v>
      </c>
      <c r="F108" s="622">
        <f t="shared" si="2"/>
        <v>1.2727901206299422E-2</v>
      </c>
      <c r="G108" s="607"/>
    </row>
    <row r="109" spans="1:7">
      <c r="A109" s="508">
        <v>44835</v>
      </c>
      <c r="B109" s="602">
        <v>497753.12000000005</v>
      </c>
      <c r="C109" s="603">
        <v>8810.19</v>
      </c>
      <c r="D109" s="604">
        <v>184830.51</v>
      </c>
      <c r="E109" s="621">
        <v>304112.42000000004</v>
      </c>
      <c r="F109" s="622">
        <f t="shared" si="2"/>
        <v>4.0499085244509042E-2</v>
      </c>
      <c r="G109" s="607"/>
    </row>
    <row r="110" spans="1:7">
      <c r="A110" s="508">
        <v>44866</v>
      </c>
      <c r="B110" s="602">
        <v>506757.50000000006</v>
      </c>
      <c r="C110" s="603">
        <v>9150</v>
      </c>
      <c r="D110" s="604">
        <v>190419.51</v>
      </c>
      <c r="E110" s="621">
        <v>307187.99000000005</v>
      </c>
      <c r="F110" s="622">
        <f t="shared" si="2"/>
        <v>1.8090052353664812E-2</v>
      </c>
      <c r="G110" s="607"/>
    </row>
    <row r="111" spans="1:7">
      <c r="A111" s="508">
        <v>44896</v>
      </c>
      <c r="B111" s="602">
        <v>513415.83</v>
      </c>
      <c r="C111" s="603">
        <v>9600</v>
      </c>
      <c r="D111" s="604">
        <v>195419.25</v>
      </c>
      <c r="E111" s="621">
        <v>308396.58</v>
      </c>
      <c r="F111" s="622">
        <f t="shared" si="2"/>
        <v>1.3139085262674864E-2</v>
      </c>
      <c r="G111" s="614">
        <f>(B111-B100)/B100</f>
        <v>0.37095586830460303</v>
      </c>
    </row>
    <row r="112" spans="1:7">
      <c r="A112" s="508">
        <v>44927</v>
      </c>
      <c r="B112" s="602">
        <v>519358.65</v>
      </c>
      <c r="C112" s="603">
        <v>9900</v>
      </c>
      <c r="D112" s="604">
        <v>201709.94</v>
      </c>
      <c r="E112" s="621">
        <v>307748.71000000002</v>
      </c>
      <c r="F112" s="622">
        <f t="shared" si="2"/>
        <v>1.1575061875283446E-2</v>
      </c>
      <c r="G112" s="509"/>
    </row>
    <row r="113" spans="1:7">
      <c r="A113" s="508">
        <v>44958</v>
      </c>
      <c r="B113" s="602">
        <v>528991.57000000007</v>
      </c>
      <c r="C113" s="603">
        <v>10250</v>
      </c>
      <c r="D113" s="604">
        <v>208837.65</v>
      </c>
      <c r="E113" s="621">
        <v>309903.92000000004</v>
      </c>
      <c r="F113" s="622">
        <f t="shared" si="2"/>
        <v>1.8547722272460546E-2</v>
      </c>
      <c r="G113" s="607"/>
    </row>
    <row r="114" spans="1:7">
      <c r="A114" s="508">
        <v>44986</v>
      </c>
      <c r="B114" s="602">
        <v>534796.34</v>
      </c>
      <c r="C114" s="603">
        <v>10500</v>
      </c>
      <c r="D114" s="604">
        <v>213271.52</v>
      </c>
      <c r="E114" s="621">
        <v>311024.82</v>
      </c>
      <c r="F114" s="622">
        <f t="shared" si="2"/>
        <v>1.0973275056159972E-2</v>
      </c>
      <c r="G114" s="607"/>
    </row>
    <row r="115" spans="1:7">
      <c r="A115" s="508">
        <v>45017</v>
      </c>
      <c r="B115" s="602">
        <v>521982.59</v>
      </c>
      <c r="C115" s="603">
        <v>10750</v>
      </c>
      <c r="D115" s="604">
        <v>199875.09999999998</v>
      </c>
      <c r="E115" s="621">
        <v>311357.49000000005</v>
      </c>
      <c r="F115" s="622">
        <f t="shared" si="2"/>
        <v>-2.3960055523192143E-2</v>
      </c>
      <c r="G115" s="607"/>
    </row>
    <row r="116" spans="1:7">
      <c r="A116" s="508">
        <v>45047</v>
      </c>
      <c r="B116" s="602">
        <v>540912.64000000001</v>
      </c>
      <c r="C116" s="603">
        <v>10900</v>
      </c>
      <c r="D116" s="604">
        <v>213870.71</v>
      </c>
      <c r="E116" s="621">
        <v>316141.93</v>
      </c>
      <c r="F116" s="622">
        <f t="shared" si="2"/>
        <v>3.6265673152048976E-2</v>
      </c>
      <c r="G116" s="607"/>
    </row>
    <row r="117" spans="1:7">
      <c r="A117" s="508">
        <v>45078</v>
      </c>
      <c r="B117" s="602">
        <v>552137.86</v>
      </c>
      <c r="C117" s="603">
        <v>10950.349999999999</v>
      </c>
      <c r="D117" s="604">
        <v>211953.71</v>
      </c>
      <c r="E117" s="621">
        <v>329233.80000000005</v>
      </c>
      <c r="F117" s="622">
        <f t="shared" si="2"/>
        <v>2.0752371399566427E-2</v>
      </c>
      <c r="G117" s="607"/>
    </row>
    <row r="118" spans="1:7">
      <c r="A118" s="508">
        <v>45108</v>
      </c>
      <c r="B118" s="602">
        <v>560279.51</v>
      </c>
      <c r="C118" s="603">
        <v>11000</v>
      </c>
      <c r="D118" s="604">
        <v>218423.75000000003</v>
      </c>
      <c r="E118" s="621">
        <v>330855.76</v>
      </c>
      <c r="F118" s="622">
        <f t="shared" si="2"/>
        <v>1.4745683261060967E-2</v>
      </c>
      <c r="G118" s="607"/>
    </row>
    <row r="119" spans="1:7">
      <c r="A119" s="508">
        <v>45139</v>
      </c>
      <c r="B119" s="602">
        <v>563510.09</v>
      </c>
      <c r="C119" s="603">
        <v>11050</v>
      </c>
      <c r="D119" s="604">
        <v>221721.4</v>
      </c>
      <c r="E119" s="621">
        <v>330738.69</v>
      </c>
      <c r="F119" s="622">
        <f t="shared" si="2"/>
        <v>5.7660148949583365E-3</v>
      </c>
      <c r="G119" s="607"/>
    </row>
    <row r="120" spans="1:7">
      <c r="A120" s="508">
        <v>45170</v>
      </c>
      <c r="B120" s="602">
        <v>575030.64</v>
      </c>
      <c r="C120" s="603">
        <v>9000</v>
      </c>
      <c r="D120" s="604">
        <v>234692.68</v>
      </c>
      <c r="E120" s="621">
        <v>331337.96000000002</v>
      </c>
      <c r="F120" s="622">
        <f t="shared" si="2"/>
        <v>2.0444265691853092E-2</v>
      </c>
      <c r="G120" s="607"/>
    </row>
    <row r="121" spans="1:7">
      <c r="A121" s="508">
        <v>45200</v>
      </c>
      <c r="B121" s="602">
        <v>581418.39</v>
      </c>
      <c r="C121" s="603">
        <v>8950</v>
      </c>
      <c r="D121" s="604">
        <v>241665.75</v>
      </c>
      <c r="E121" s="621">
        <v>330802.64</v>
      </c>
      <c r="F121" s="622">
        <f t="shared" si="2"/>
        <v>1.1108538494574828E-2</v>
      </c>
      <c r="G121" s="607"/>
    </row>
    <row r="122" spans="1:7">
      <c r="A122" s="508">
        <v>45231</v>
      </c>
      <c r="B122" s="602">
        <v>597110.41999999993</v>
      </c>
      <c r="C122" s="603">
        <v>9000</v>
      </c>
      <c r="D122" s="604">
        <v>251672.8</v>
      </c>
      <c r="E122" s="621">
        <v>336437.62</v>
      </c>
      <c r="F122" s="622">
        <f t="shared" si="2"/>
        <v>2.6989221995540786E-2</v>
      </c>
      <c r="G122" s="607"/>
    </row>
    <row r="123" spans="1:7">
      <c r="A123" s="508">
        <v>45261</v>
      </c>
      <c r="B123" s="602">
        <v>618309.86</v>
      </c>
      <c r="C123" s="603">
        <v>9050</v>
      </c>
      <c r="D123" s="604">
        <v>264362.8</v>
      </c>
      <c r="E123" s="621">
        <v>344897.06</v>
      </c>
      <c r="F123" s="622">
        <f t="shared" si="2"/>
        <v>3.5503383109609883E-2</v>
      </c>
      <c r="G123" s="614">
        <f>(B123-B112)/B112</f>
        <v>0.19052577635897652</v>
      </c>
    </row>
    <row r="124" spans="1:7">
      <c r="A124" s="508">
        <v>45292</v>
      </c>
      <c r="B124" s="602">
        <v>627348.80000000005</v>
      </c>
      <c r="C124" s="603">
        <v>9100</v>
      </c>
      <c r="D124" s="604">
        <v>256574.64</v>
      </c>
      <c r="E124" s="621">
        <v>361674.16000000003</v>
      </c>
      <c r="F124" s="622">
        <f t="shared" si="2"/>
        <v>1.4618786768174878E-2</v>
      </c>
      <c r="G124" s="509"/>
    </row>
    <row r="125" spans="1:7">
      <c r="A125" s="508">
        <v>45323</v>
      </c>
      <c r="B125" s="602">
        <v>661374.83000000007</v>
      </c>
      <c r="C125" s="603">
        <v>9150</v>
      </c>
      <c r="D125" s="604">
        <v>255793.64</v>
      </c>
      <c r="E125" s="621">
        <v>396431.19</v>
      </c>
      <c r="F125" s="622">
        <f t="shared" si="2"/>
        <v>5.4237817941151754E-2</v>
      </c>
      <c r="G125" s="607"/>
    </row>
    <row r="126" spans="1:7">
      <c r="A126" s="508">
        <v>45352</v>
      </c>
      <c r="B126" s="602">
        <v>687954.51</v>
      </c>
      <c r="C126" s="603">
        <v>9200</v>
      </c>
      <c r="D126" s="604">
        <v>266861.46000000002</v>
      </c>
      <c r="E126" s="621">
        <v>411893.05000000005</v>
      </c>
      <c r="F126" s="622">
        <f t="shared" si="2"/>
        <v>4.0188526678585475E-2</v>
      </c>
      <c r="G126" s="607"/>
    </row>
    <row r="127" spans="1:7">
      <c r="A127" s="508">
        <v>45383</v>
      </c>
      <c r="B127" s="602">
        <v>706272.08000000007</v>
      </c>
      <c r="C127" s="603">
        <v>9250</v>
      </c>
      <c r="D127" s="604">
        <v>284668.05</v>
      </c>
      <c r="E127" s="621">
        <v>412354.03</v>
      </c>
      <c r="F127" s="622">
        <f t="shared" si="2"/>
        <v>2.6626135498406815E-2</v>
      </c>
      <c r="G127" s="607"/>
    </row>
    <row r="128" spans="1:7">
      <c r="A128" s="508">
        <v>45413</v>
      </c>
      <c r="B128" s="602">
        <v>718298.79</v>
      </c>
      <c r="C128" s="603">
        <v>9300</v>
      </c>
      <c r="D128" s="604">
        <v>288218.75</v>
      </c>
      <c r="E128" s="621">
        <v>420780.04000000004</v>
      </c>
      <c r="F128" s="622">
        <f t="shared" si="2"/>
        <v>1.7028437539255356E-2</v>
      </c>
      <c r="G128" s="607"/>
    </row>
    <row r="129" spans="1:7">
      <c r="A129" s="508">
        <v>45444</v>
      </c>
      <c r="B129" s="602">
        <v>702468.57000000007</v>
      </c>
      <c r="C129" s="603">
        <v>9250</v>
      </c>
      <c r="D129" s="604">
        <v>273794.75</v>
      </c>
      <c r="E129" s="621">
        <v>419423.82</v>
      </c>
      <c r="F129" s="622">
        <f t="shared" si="2"/>
        <v>-2.203848902488054E-2</v>
      </c>
      <c r="G129" s="607"/>
    </row>
    <row r="130" spans="1:7">
      <c r="A130" s="508">
        <v>45474</v>
      </c>
      <c r="B130" s="602">
        <v>710791.1</v>
      </c>
      <c r="C130" s="603">
        <v>9300</v>
      </c>
      <c r="D130" s="604">
        <v>277085.62</v>
      </c>
      <c r="E130" s="621">
        <v>424405.48</v>
      </c>
      <c r="F130" s="622">
        <f t="shared" si="2"/>
        <v>1.1847547855414956E-2</v>
      </c>
      <c r="G130" s="607"/>
    </row>
    <row r="131" spans="1:7">
      <c r="A131" s="508">
        <v>45505</v>
      </c>
      <c r="B131" s="602">
        <v>741976.30999999994</v>
      </c>
      <c r="C131" s="603">
        <v>9400</v>
      </c>
      <c r="D131" s="604">
        <v>298199.88999999996</v>
      </c>
      <c r="E131" s="621">
        <v>434376.42</v>
      </c>
      <c r="F131" s="622">
        <f t="shared" si="2"/>
        <v>4.387394552351593E-2</v>
      </c>
      <c r="G131" s="607"/>
    </row>
    <row r="132" spans="1:7">
      <c r="A132" s="508">
        <v>45536</v>
      </c>
      <c r="B132" s="602">
        <v>728720.52</v>
      </c>
      <c r="C132" s="603">
        <v>9500</v>
      </c>
      <c r="D132" s="604">
        <v>292402.34999999998</v>
      </c>
      <c r="E132" s="621">
        <v>426818.17</v>
      </c>
      <c r="F132" s="622">
        <f t="shared" si="2"/>
        <v>-1.7865516487985879E-2</v>
      </c>
      <c r="G132" s="607"/>
    </row>
    <row r="133" spans="1:7">
      <c r="A133" s="508">
        <v>45566</v>
      </c>
      <c r="B133" s="602">
        <v>744841.97</v>
      </c>
      <c r="C133" s="603">
        <v>9600.0000000000018</v>
      </c>
      <c r="D133" s="604">
        <v>306396.03999999998</v>
      </c>
      <c r="E133" s="621">
        <v>428845.93</v>
      </c>
      <c r="F133" s="622">
        <f t="shared" si="2"/>
        <v>2.2122953255110687E-2</v>
      </c>
      <c r="G133" s="607"/>
    </row>
    <row r="134" spans="1:7">
      <c r="A134" s="508">
        <v>45597</v>
      </c>
      <c r="B134" s="602">
        <v>784027.66999999993</v>
      </c>
      <c r="C134" s="603">
        <v>9700</v>
      </c>
      <c r="D134" s="604">
        <v>302650.03999999998</v>
      </c>
      <c r="E134" s="621">
        <v>471677.63</v>
      </c>
      <c r="F134" s="622">
        <f t="shared" ref="F134:F153" si="3">(B134-B133)/B133</f>
        <v>5.2609414584948742E-2</v>
      </c>
      <c r="G134" s="607"/>
    </row>
    <row r="135" spans="1:7">
      <c r="A135" s="508">
        <v>45627</v>
      </c>
      <c r="B135" s="602">
        <v>781376.40999999992</v>
      </c>
      <c r="C135" s="603">
        <v>9800</v>
      </c>
      <c r="D135" s="604">
        <v>303500.65999999997</v>
      </c>
      <c r="E135" s="621">
        <v>468075.75</v>
      </c>
      <c r="F135" s="622">
        <f t="shared" si="3"/>
        <v>-3.3815898359811835E-3</v>
      </c>
      <c r="G135" s="614">
        <f>(B135-B124)/B124</f>
        <v>0.24552148661159448</v>
      </c>
    </row>
    <row r="136" spans="1:7">
      <c r="A136" s="508">
        <v>45658</v>
      </c>
      <c r="B136" s="602">
        <v>807554.42999999993</v>
      </c>
      <c r="C136" s="603">
        <v>9900</v>
      </c>
      <c r="D136" s="604">
        <v>314525.38</v>
      </c>
      <c r="E136" s="621">
        <v>483129.05</v>
      </c>
      <c r="F136" s="622">
        <f t="shared" si="3"/>
        <v>3.3502444743628776E-2</v>
      </c>
      <c r="G136" s="509"/>
    </row>
    <row r="137" spans="1:7">
      <c r="A137" s="508">
        <v>45689</v>
      </c>
      <c r="B137" s="602">
        <v>817724.54</v>
      </c>
      <c r="C137" s="603">
        <v>10000</v>
      </c>
      <c r="D137" s="604">
        <v>319186.73</v>
      </c>
      <c r="E137" s="621">
        <v>488537.81</v>
      </c>
      <c r="F137" s="622">
        <f t="shared" si="3"/>
        <v>1.2593714580947941E-2</v>
      </c>
      <c r="G137" s="607"/>
    </row>
    <row r="138" spans="1:7">
      <c r="A138" s="508">
        <v>45717</v>
      </c>
      <c r="B138" s="602">
        <v>824757.16999999993</v>
      </c>
      <c r="C138" s="603">
        <v>10100</v>
      </c>
      <c r="D138" s="604">
        <v>325663.40999999997</v>
      </c>
      <c r="E138" s="621">
        <v>488993.76</v>
      </c>
      <c r="F138" s="622">
        <f t="shared" si="3"/>
        <v>8.6002433044260699E-3</v>
      </c>
      <c r="G138" s="607"/>
    </row>
    <row r="139" spans="1:7">
      <c r="A139" s="508">
        <v>45748</v>
      </c>
      <c r="B139" s="602">
        <v>841862.56</v>
      </c>
      <c r="C139" s="603">
        <v>10200</v>
      </c>
      <c r="D139" s="604">
        <v>315641.11</v>
      </c>
      <c r="E139" s="621">
        <v>516021.45</v>
      </c>
      <c r="F139" s="622">
        <f t="shared" si="3"/>
        <v>2.0739910633332394E-2</v>
      </c>
      <c r="G139" s="607"/>
    </row>
    <row r="140" spans="1:7">
      <c r="A140" s="508">
        <v>45778</v>
      </c>
      <c r="B140" s="602">
        <v>853481.67999999993</v>
      </c>
      <c r="C140" s="603">
        <v>10300</v>
      </c>
      <c r="D140" s="604">
        <v>324179.11</v>
      </c>
      <c r="E140" s="621">
        <v>519002.57</v>
      </c>
      <c r="F140" s="622">
        <f t="shared" si="3"/>
        <v>1.3801682782994743E-2</v>
      </c>
      <c r="G140" s="607"/>
    </row>
    <row r="141" spans="1:7">
      <c r="A141" s="508">
        <v>45809</v>
      </c>
      <c r="B141" s="602">
        <v>880486</v>
      </c>
      <c r="C141" s="603">
        <v>10400</v>
      </c>
      <c r="D141" s="604">
        <v>330730.2</v>
      </c>
      <c r="E141" s="621">
        <v>539355.80000000005</v>
      </c>
      <c r="F141" s="622">
        <f t="shared" si="3"/>
        <v>3.1640187051232394E-2</v>
      </c>
      <c r="G141" s="607"/>
    </row>
    <row r="142" spans="1:7">
      <c r="A142" s="508">
        <v>45839</v>
      </c>
      <c r="B142" s="602">
        <v>936950.32000000007</v>
      </c>
      <c r="C142" s="603">
        <v>10500</v>
      </c>
      <c r="D142" s="604">
        <v>338061.2</v>
      </c>
      <c r="E142" s="621">
        <v>588389.12</v>
      </c>
      <c r="F142" s="622">
        <f t="shared" si="3"/>
        <v>6.4128583532276573E-2</v>
      </c>
      <c r="G142" s="607"/>
    </row>
    <row r="143" spans="1:7">
      <c r="A143" s="508">
        <v>45870</v>
      </c>
      <c r="B143" s="602">
        <v>951379.03</v>
      </c>
      <c r="C143" s="603">
        <v>10600</v>
      </c>
      <c r="D143" s="604">
        <v>346616.2</v>
      </c>
      <c r="E143" s="621">
        <v>594162.82999999996</v>
      </c>
      <c r="F143" s="622">
        <f t="shared" si="3"/>
        <v>1.5399653206799653E-2</v>
      </c>
      <c r="G143" s="607"/>
    </row>
    <row r="144" spans="1:7">
      <c r="A144" s="508">
        <v>45901</v>
      </c>
      <c r="B144" s="602">
        <v>982804.10000000009</v>
      </c>
      <c r="C144" s="603">
        <v>10700</v>
      </c>
      <c r="D144" s="604">
        <v>346996.32</v>
      </c>
      <c r="E144" s="621">
        <v>625107.78</v>
      </c>
      <c r="F144" s="622">
        <f t="shared" si="3"/>
        <v>3.3031072799660159E-2</v>
      </c>
      <c r="G144" s="607"/>
    </row>
    <row r="145" spans="1:7">
      <c r="A145" s="508">
        <v>45931</v>
      </c>
      <c r="B145" s="602">
        <v>1030999.36</v>
      </c>
      <c r="C145" s="603">
        <v>10800</v>
      </c>
      <c r="D145" s="604">
        <v>353521.4</v>
      </c>
      <c r="E145" s="621">
        <v>666677.96</v>
      </c>
      <c r="F145" s="622">
        <f t="shared" si="3"/>
        <v>4.9038521512069277E-2</v>
      </c>
      <c r="G145" s="607"/>
    </row>
    <row r="146" spans="1:7">
      <c r="A146" s="508">
        <v>45962</v>
      </c>
      <c r="B146" s="602">
        <v>1040656.3200000001</v>
      </c>
      <c r="C146" s="603">
        <v>10900</v>
      </c>
      <c r="D146" s="604">
        <v>362682.02</v>
      </c>
      <c r="E146" s="621">
        <v>667074.30000000005</v>
      </c>
      <c r="F146" s="622">
        <f t="shared" si="3"/>
        <v>9.3666013526915084E-3</v>
      </c>
      <c r="G146" s="607"/>
    </row>
    <row r="147" spans="1:7">
      <c r="A147" s="508">
        <v>45992</v>
      </c>
      <c r="B147" s="602">
        <v>1051547.3500000001</v>
      </c>
      <c r="C147" s="603">
        <v>11000</v>
      </c>
      <c r="D147" s="604">
        <v>362793.05000000005</v>
      </c>
      <c r="E147" s="621">
        <v>677754.3</v>
      </c>
      <c r="F147" s="622">
        <f>(B147-B146)/B146</f>
        <v>1.046553967019585E-2</v>
      </c>
      <c r="G147" s="614">
        <f>(B147-B136)/B136</f>
        <v>0.30213804907243241</v>
      </c>
    </row>
    <row r="148" spans="1:7">
      <c r="A148" s="508">
        <f>Summary!B4</f>
        <v>46023</v>
      </c>
      <c r="B148" s="602">
        <f>Summary!C4</f>
        <v>1083924.31</v>
      </c>
      <c r="C148" s="602">
        <f>Summary!K4</f>
        <v>11100</v>
      </c>
      <c r="D148" s="602">
        <f>Summary!T4</f>
        <v>370223.41000000003</v>
      </c>
      <c r="E148" s="621">
        <f>Summary!U4</f>
        <v>702600.9</v>
      </c>
      <c r="F148" s="622">
        <f>(B148-B147)/B147</f>
        <v>3.0789826059663371E-2</v>
      </c>
      <c r="G148" s="509"/>
    </row>
    <row r="149" spans="1:7">
      <c r="A149" s="508">
        <f>Summary!B5</f>
        <v>46054</v>
      </c>
      <c r="B149" s="602">
        <f>Summary!C5</f>
        <v>1098715.24</v>
      </c>
      <c r="C149" s="602">
        <f>Summary!K5</f>
        <v>11200</v>
      </c>
      <c r="D149" s="602">
        <f>Summary!T5</f>
        <v>378752.38</v>
      </c>
      <c r="E149" s="621">
        <f>Summary!U5</f>
        <v>708762.86</v>
      </c>
      <c r="F149" s="622">
        <f>(B149-B148)/B148</f>
        <v>1.3645722181468495E-2</v>
      </c>
      <c r="G149" s="607"/>
    </row>
    <row r="150" spans="1:7">
      <c r="A150" s="508">
        <f>Summary!B6</f>
        <v>46082</v>
      </c>
      <c r="B150" s="602">
        <f>Summary!C6</f>
        <v>1081075.1199999999</v>
      </c>
      <c r="C150" s="602">
        <f>Summary!K6</f>
        <v>11300</v>
      </c>
      <c r="D150" s="602">
        <f>Summary!T6</f>
        <v>360237.54</v>
      </c>
      <c r="E150" s="621">
        <f>Summary!U6</f>
        <v>709537.58</v>
      </c>
      <c r="F150" s="622">
        <f t="shared" si="3"/>
        <v>-1.6055224645832811E-2</v>
      </c>
      <c r="G150" s="607"/>
    </row>
    <row r="151" spans="1:7">
      <c r="A151" s="508">
        <f>Summary!B7</f>
        <v>46113</v>
      </c>
      <c r="B151" s="602">
        <f>Summary!C7</f>
        <v>1106484.02</v>
      </c>
      <c r="C151" s="602">
        <f>Summary!K7</f>
        <v>11400</v>
      </c>
      <c r="D151" s="602">
        <f>Summary!T7</f>
        <v>364294.54</v>
      </c>
      <c r="E151" s="621">
        <f>Summary!U7</f>
        <v>730789.48</v>
      </c>
      <c r="F151" s="622">
        <f t="shared" si="3"/>
        <v>2.3503362097538737E-2</v>
      </c>
      <c r="G151" s="607"/>
    </row>
    <row r="152" spans="1:7">
      <c r="A152" s="508">
        <f>Summary!B8</f>
        <v>46143</v>
      </c>
      <c r="B152" s="602">
        <f>Summary!C8</f>
        <v>1128693.3700000001</v>
      </c>
      <c r="C152" s="602">
        <f>Summary!K8</f>
        <v>11500</v>
      </c>
      <c r="D152" s="602">
        <f>Summary!T8</f>
        <v>371476.45</v>
      </c>
      <c r="E152" s="621">
        <f>Summary!U8</f>
        <v>745716.92</v>
      </c>
      <c r="F152" s="622">
        <f t="shared" si="3"/>
        <v>2.0072002485856139E-2</v>
      </c>
      <c r="G152" s="607"/>
    </row>
    <row r="153" spans="1:7">
      <c r="A153" s="508">
        <f>Summary!B9</f>
        <v>46174</v>
      </c>
      <c r="B153" s="602">
        <f>Summary!C9</f>
        <v>1122652.75</v>
      </c>
      <c r="C153" s="602">
        <f>Summary!K9</f>
        <v>11600</v>
      </c>
      <c r="D153" s="602">
        <f>Summary!T9</f>
        <v>365335.82999999996</v>
      </c>
      <c r="E153" s="621">
        <f>Summary!U9</f>
        <v>745716.92</v>
      </c>
      <c r="F153" s="622">
        <f t="shared" si="3"/>
        <v>-5.3518698351174964E-3</v>
      </c>
      <c r="G153" s="607"/>
    </row>
    <row r="154" spans="1:7">
      <c r="A154" s="508">
        <f>Summary!B10</f>
        <v>46204</v>
      </c>
      <c r="B154" s="602">
        <f>Summary!C10</f>
        <v>0</v>
      </c>
      <c r="C154" s="602">
        <f>Summary!K10</f>
        <v>0</v>
      </c>
      <c r="D154" s="602">
        <f>Summary!T10</f>
        <v>0</v>
      </c>
      <c r="E154" s="621">
        <f>Summary!U10</f>
        <v>0</v>
      </c>
      <c r="F154" s="622" t="e">
        <f t="shared" ref="F154:G159" si="4">(B155-B154)/B154</f>
        <v>#DIV/0!</v>
      </c>
      <c r="G154" s="607"/>
    </row>
    <row r="155" spans="1:7">
      <c r="A155" s="508">
        <f>Summary!B11</f>
        <v>46235</v>
      </c>
      <c r="B155" s="602">
        <f>Summary!C11</f>
        <v>0</v>
      </c>
      <c r="C155" s="602">
        <f>Summary!K11</f>
        <v>0</v>
      </c>
      <c r="D155" s="602">
        <f>Summary!T11</f>
        <v>0</v>
      </c>
      <c r="E155" s="621">
        <f>Summary!U11</f>
        <v>0</v>
      </c>
      <c r="F155" s="622" t="e">
        <f t="shared" si="4"/>
        <v>#DIV/0!</v>
      </c>
      <c r="G155" s="607"/>
    </row>
    <row r="156" spans="1:7">
      <c r="A156" s="508">
        <f>Summary!B12</f>
        <v>46266</v>
      </c>
      <c r="B156" s="602">
        <f>Summary!C12</f>
        <v>0</v>
      </c>
      <c r="C156" s="602">
        <f>Summary!K12</f>
        <v>0</v>
      </c>
      <c r="D156" s="602">
        <f>Summary!T12</f>
        <v>0</v>
      </c>
      <c r="E156" s="621">
        <f>Summary!U12</f>
        <v>0</v>
      </c>
      <c r="F156" s="622" t="e">
        <f t="shared" si="4"/>
        <v>#DIV/0!</v>
      </c>
      <c r="G156" s="607"/>
    </row>
    <row r="157" spans="1:7">
      <c r="A157" s="508">
        <f>Summary!B13</f>
        <v>46296</v>
      </c>
      <c r="B157" s="602">
        <f>Summary!C13</f>
        <v>0</v>
      </c>
      <c r="C157" s="602">
        <f>Summary!K13</f>
        <v>0</v>
      </c>
      <c r="D157" s="602">
        <f>Summary!T13</f>
        <v>0</v>
      </c>
      <c r="E157" s="621">
        <f>Summary!U13</f>
        <v>0</v>
      </c>
      <c r="F157" s="622" t="e">
        <f t="shared" si="4"/>
        <v>#DIV/0!</v>
      </c>
      <c r="G157" s="607"/>
    </row>
    <row r="158" spans="1:7">
      <c r="A158" s="508">
        <f>Summary!B14</f>
        <v>46327</v>
      </c>
      <c r="B158" s="602">
        <f>Summary!C14</f>
        <v>0</v>
      </c>
      <c r="C158" s="602">
        <f>Summary!K14</f>
        <v>0</v>
      </c>
      <c r="D158" s="602">
        <f>Summary!T14</f>
        <v>0</v>
      </c>
      <c r="E158" s="621">
        <f>Summary!U14</f>
        <v>0</v>
      </c>
      <c r="F158" s="622" t="e">
        <f t="shared" si="4"/>
        <v>#DIV/0!</v>
      </c>
      <c r="G158" s="607"/>
    </row>
    <row r="159" spans="1:7">
      <c r="A159" s="623">
        <f>Summary!B15</f>
        <v>46357</v>
      </c>
      <c r="B159" s="624">
        <f>Summary!C15</f>
        <v>0</v>
      </c>
      <c r="C159" s="624">
        <f>Summary!K15</f>
        <v>0</v>
      </c>
      <c r="D159" s="624">
        <f>Summary!T15</f>
        <v>0</v>
      </c>
      <c r="E159" s="625">
        <f>Summary!U15</f>
        <v>0</v>
      </c>
      <c r="F159" s="626" t="e">
        <f t="shared" si="4"/>
        <v>#DIV/0!</v>
      </c>
      <c r="G159" s="614">
        <f>(B159-B148)/B148</f>
        <v>-1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2D4-1BF5-4DAA-9A09-80021B900D9F}">
  <dimension ref="B2:H98"/>
  <sheetViews>
    <sheetView topLeftCell="A42" workbookViewId="0">
      <selection activeCell="E98" sqref="E98"/>
    </sheetView>
  </sheetViews>
  <sheetFormatPr defaultRowHeight="12.75"/>
  <cols>
    <col min="1" max="1" width="5.140625" customWidth="1"/>
    <col min="2" max="2" width="15.28515625" bestFit="1" customWidth="1"/>
    <col min="3" max="3" width="11.28515625" bestFit="1" customWidth="1"/>
    <col min="4" max="4" width="11.140625" bestFit="1" customWidth="1"/>
    <col min="5" max="5" width="12.5703125" bestFit="1" customWidth="1"/>
    <col min="6" max="6" width="14.140625" customWidth="1"/>
    <col min="7" max="7" width="11.7109375" bestFit="1" customWidth="1"/>
    <col min="8" max="8" width="14.42578125" bestFit="1" customWidth="1"/>
  </cols>
  <sheetData>
    <row r="2" spans="2:8">
      <c r="B2" s="31" t="s">
        <v>43</v>
      </c>
      <c r="C2" s="2"/>
      <c r="D2" s="2"/>
      <c r="E2" s="2"/>
      <c r="F2" s="2"/>
      <c r="G2" s="2"/>
      <c r="H2" s="2"/>
    </row>
    <row r="3" spans="2:8">
      <c r="B3" s="157"/>
      <c r="C3" s="52">
        <v>2026</v>
      </c>
      <c r="D3" s="117" t="s">
        <v>44</v>
      </c>
      <c r="E3" s="117" t="s">
        <v>45</v>
      </c>
      <c r="F3" s="117" t="s">
        <v>46</v>
      </c>
      <c r="G3" s="117" t="s">
        <v>47</v>
      </c>
      <c r="H3" s="121" t="s">
        <v>48</v>
      </c>
    </row>
    <row r="4" spans="2:8">
      <c r="B4" s="54" t="s">
        <v>49</v>
      </c>
      <c r="C4" s="310">
        <f>Summary!Y4</f>
        <v>206508</v>
      </c>
      <c r="D4" s="310">
        <f>Summary!Z4</f>
        <v>0</v>
      </c>
      <c r="E4" s="310">
        <f>Summary!AA4</f>
        <v>7081</v>
      </c>
      <c r="F4" s="310">
        <f>Summary!AB4</f>
        <v>213589</v>
      </c>
      <c r="G4" s="311">
        <f>Summary!AC4</f>
        <v>3.4289228504464718E-2</v>
      </c>
      <c r="H4" s="312">
        <f>Summary!AD4</f>
        <v>3.4289228504464718E-2</v>
      </c>
    </row>
    <row r="5" spans="2:8">
      <c r="B5" s="54" t="s">
        <v>50</v>
      </c>
      <c r="C5" s="310">
        <f>Summary!Y5</f>
        <v>127109</v>
      </c>
      <c r="D5" s="310">
        <f>Summary!Z5</f>
        <v>5000</v>
      </c>
      <c r="E5" s="310">
        <f>Summary!AA5</f>
        <v>0</v>
      </c>
      <c r="F5" s="310">
        <f>Summary!AB5</f>
        <v>132109</v>
      </c>
      <c r="G5" s="311">
        <f>Summary!AC5</f>
        <v>3.9336317648632275E-2</v>
      </c>
      <c r="H5" s="312">
        <f>Summary!AD5</f>
        <v>0</v>
      </c>
    </row>
    <row r="6" spans="2:8">
      <c r="B6" s="54" t="s">
        <v>51</v>
      </c>
      <c r="C6" s="310">
        <f>Summary!Y6</f>
        <v>62955</v>
      </c>
      <c r="D6" s="310">
        <f>Summary!Z6</f>
        <v>1500</v>
      </c>
      <c r="E6" s="310">
        <f>Summary!AA6</f>
        <v>7439</v>
      </c>
      <c r="F6" s="310">
        <f>Summary!AB6</f>
        <v>71894</v>
      </c>
      <c r="G6" s="311">
        <f>Summary!AC6</f>
        <v>0.14199031053927408</v>
      </c>
      <c r="H6" s="312">
        <f>Summary!AD6</f>
        <v>0.11541385462725932</v>
      </c>
    </row>
    <row r="7" spans="2:8">
      <c r="B7" s="54" t="s">
        <v>52</v>
      </c>
      <c r="C7" s="310">
        <f>Summary!Y7</f>
        <v>27298</v>
      </c>
      <c r="D7" s="310">
        <f>Summary!Z7</f>
        <v>0</v>
      </c>
      <c r="E7" s="310">
        <f>Summary!AA7</f>
        <v>0</v>
      </c>
      <c r="F7" s="310">
        <f>Summary!AB7</f>
        <v>27298</v>
      </c>
      <c r="G7" s="311">
        <f>Summary!AC7</f>
        <v>0</v>
      </c>
      <c r="H7" s="312">
        <f>Summary!AD7</f>
        <v>0</v>
      </c>
    </row>
    <row r="8" spans="2:8">
      <c r="B8" s="54" t="s">
        <v>53</v>
      </c>
      <c r="C8" s="310">
        <f>Summary!Y8</f>
        <v>3879</v>
      </c>
      <c r="D8" s="310">
        <f>Summary!Z8</f>
        <v>2600</v>
      </c>
      <c r="E8" s="310">
        <f>Summary!AA8</f>
        <v>641</v>
      </c>
      <c r="F8" s="310">
        <f>Summary!AB8</f>
        <v>7120</v>
      </c>
      <c r="G8" s="311">
        <f>Summary!AC8</f>
        <v>0.83552461974735759</v>
      </c>
      <c r="H8" s="312">
        <f>Summary!AD8</f>
        <v>9.8935020836548856E-2</v>
      </c>
    </row>
    <row r="9" spans="2:8">
      <c r="B9" s="54" t="s">
        <v>54</v>
      </c>
      <c r="C9" s="310">
        <f>Summary!Y9</f>
        <v>247061</v>
      </c>
      <c r="D9" s="310">
        <f>Summary!Z9</f>
        <v>0</v>
      </c>
      <c r="E9" s="310">
        <f>Summary!AA9</f>
        <v>42617</v>
      </c>
      <c r="F9" s="310">
        <f>Summary!AB9</f>
        <v>289678</v>
      </c>
      <c r="G9" s="311">
        <f>Summary!AC9</f>
        <v>0.17249586134598338</v>
      </c>
      <c r="H9" s="312">
        <f>Summary!AD9</f>
        <v>0.17249586134598338</v>
      </c>
    </row>
    <row r="10" spans="2:8">
      <c r="B10" s="123" t="s">
        <v>55</v>
      </c>
      <c r="C10" s="313">
        <f>Summary!Y10</f>
        <v>2944.3</v>
      </c>
      <c r="D10" s="314">
        <f>Summary!Z10</f>
        <v>0</v>
      </c>
      <c r="E10" s="314">
        <f>Summary!AA10</f>
        <v>1084.6199999999999</v>
      </c>
      <c r="F10" s="314">
        <f>Summary!AB10</f>
        <v>4028.92</v>
      </c>
      <c r="G10" s="315">
        <f>Summary!AC10</f>
        <v>0.36837958088509998</v>
      </c>
      <c r="H10" s="316">
        <f>Summary!AD10</f>
        <v>0.36837958088509998</v>
      </c>
    </row>
    <row r="11" spans="2:8">
      <c r="B11" s="122" t="s">
        <v>56</v>
      </c>
      <c r="C11" s="317">
        <f>Summary!Y11</f>
        <v>677754.3</v>
      </c>
      <c r="D11" s="317">
        <f>Summary!Z11</f>
        <v>9100</v>
      </c>
      <c r="E11" s="317">
        <f>Summary!AA11</f>
        <v>58862.62</v>
      </c>
      <c r="F11" s="317">
        <f>Summary!AB11</f>
        <v>745716.92</v>
      </c>
      <c r="G11" s="318">
        <f>Summary!AC11</f>
        <v>0.10027619153430674</v>
      </c>
      <c r="H11" s="319">
        <f>Summary!AD11</f>
        <v>8.5698844718596068E-2</v>
      </c>
    </row>
    <row r="12" spans="2:8">
      <c r="B12" s="157"/>
      <c r="C12" s="680">
        <v>2025</v>
      </c>
      <c r="D12" s="678" t="s">
        <v>44</v>
      </c>
      <c r="E12" s="678" t="s">
        <v>45</v>
      </c>
      <c r="F12" s="678" t="s">
        <v>46</v>
      </c>
      <c r="G12" s="678" t="s">
        <v>47</v>
      </c>
      <c r="H12" s="681" t="s">
        <v>48</v>
      </c>
    </row>
    <row r="13" spans="2:8">
      <c r="B13" s="54" t="s">
        <v>49</v>
      </c>
      <c r="C13" s="310">
        <v>88708</v>
      </c>
      <c r="D13" s="310">
        <v>38181</v>
      </c>
      <c r="E13" s="310">
        <v>79619</v>
      </c>
      <c r="F13" s="310">
        <v>206508</v>
      </c>
      <c r="G13" s="311">
        <f>(F13-C13)/C13</f>
        <v>1.3279523830996076</v>
      </c>
      <c r="H13" s="312">
        <f>E13/(C13+D13)</f>
        <v>0.62746967822269861</v>
      </c>
    </row>
    <row r="14" spans="2:8">
      <c r="B14" s="54" t="s">
        <v>50</v>
      </c>
      <c r="C14" s="310">
        <v>104164</v>
      </c>
      <c r="D14" s="310">
        <v>14000</v>
      </c>
      <c r="E14" s="310">
        <v>8945</v>
      </c>
      <c r="F14" s="310">
        <v>127109</v>
      </c>
      <c r="G14" s="311">
        <f t="shared" ref="G14:G20" si="0">(F14-C14)/C14</f>
        <v>0.22027763910756115</v>
      </c>
      <c r="H14" s="312">
        <f t="shared" ref="H14:H20" si="1">E14/(C14+D14)</f>
        <v>7.5699874750346979E-2</v>
      </c>
    </row>
    <row r="15" spans="2:8">
      <c r="B15" s="54" t="s">
        <v>51</v>
      </c>
      <c r="C15" s="310">
        <v>48142</v>
      </c>
      <c r="D15" s="310">
        <v>7000</v>
      </c>
      <c r="E15" s="310">
        <v>7813</v>
      </c>
      <c r="F15" s="310">
        <v>62955</v>
      </c>
      <c r="G15" s="311">
        <f t="shared" si="0"/>
        <v>0.30769390552947529</v>
      </c>
      <c r="H15" s="312">
        <f t="shared" si="1"/>
        <v>0.14168873091291576</v>
      </c>
    </row>
    <row r="16" spans="2:8">
      <c r="B16" s="54" t="s">
        <v>53</v>
      </c>
      <c r="C16" s="310">
        <v>3014</v>
      </c>
      <c r="D16" s="310">
        <v>400</v>
      </c>
      <c r="E16" s="310">
        <v>465</v>
      </c>
      <c r="F16" s="310">
        <v>3879</v>
      </c>
      <c r="G16" s="311">
        <f t="shared" si="0"/>
        <v>0.28699402786994027</v>
      </c>
      <c r="H16" s="312">
        <f t="shared" si="1"/>
        <v>0.13620386643233742</v>
      </c>
    </row>
    <row r="17" spans="2:8">
      <c r="B17" s="667" t="s">
        <v>57</v>
      </c>
      <c r="C17" s="310">
        <v>31601</v>
      </c>
      <c r="D17" s="310"/>
      <c r="E17" s="310">
        <v>1580</v>
      </c>
      <c r="F17" s="310">
        <v>33181</v>
      </c>
      <c r="G17" s="311">
        <f t="shared" si="0"/>
        <v>4.9998417771589504E-2</v>
      </c>
      <c r="H17" s="312">
        <f t="shared" si="1"/>
        <v>4.9998417771589504E-2</v>
      </c>
    </row>
    <row r="18" spans="2:8">
      <c r="B18" s="54" t="s">
        <v>54</v>
      </c>
      <c r="C18" s="310">
        <v>191318</v>
      </c>
      <c r="D18" s="310"/>
      <c r="E18" s="310">
        <v>49860</v>
      </c>
      <c r="F18" s="310">
        <v>241178</v>
      </c>
      <c r="G18" s="311">
        <f t="shared" si="0"/>
        <v>0.26061321987476349</v>
      </c>
      <c r="H18" s="312">
        <f t="shared" si="1"/>
        <v>0.26061321987476349</v>
      </c>
    </row>
    <row r="19" spans="2:8">
      <c r="B19" s="123" t="s">
        <v>55</v>
      </c>
      <c r="C19" s="313">
        <v>1225.01</v>
      </c>
      <c r="D19" s="314"/>
      <c r="E19" s="314">
        <v>1719.2900000000002</v>
      </c>
      <c r="F19" s="314">
        <v>2944.3</v>
      </c>
      <c r="G19" s="315">
        <f t="shared" si="0"/>
        <v>1.4034905837503369</v>
      </c>
      <c r="H19" s="316">
        <f t="shared" si="1"/>
        <v>1.4034905837503369</v>
      </c>
    </row>
    <row r="20" spans="2:8">
      <c r="B20" s="54" t="s">
        <v>56</v>
      </c>
      <c r="C20" s="310">
        <v>468172.01</v>
      </c>
      <c r="D20" s="310">
        <v>59581</v>
      </c>
      <c r="E20" s="310">
        <v>150001.29</v>
      </c>
      <c r="F20" s="310">
        <v>677754.3</v>
      </c>
      <c r="G20" s="311">
        <f t="shared" si="0"/>
        <v>0.44766087148182998</v>
      </c>
      <c r="H20" s="668">
        <f t="shared" si="1"/>
        <v>0.28422630881821026</v>
      </c>
    </row>
    <row r="21" spans="2:8">
      <c r="B21" s="669"/>
      <c r="C21" s="682">
        <v>2024</v>
      </c>
      <c r="D21" s="679" t="s">
        <v>44</v>
      </c>
      <c r="E21" s="679" t="s">
        <v>45</v>
      </c>
      <c r="F21" s="679" t="s">
        <v>46</v>
      </c>
      <c r="G21" s="679" t="s">
        <v>47</v>
      </c>
      <c r="H21" s="683" t="s">
        <v>48</v>
      </c>
    </row>
    <row r="22" spans="2:8">
      <c r="B22" s="670" t="s">
        <v>49</v>
      </c>
      <c r="C22" s="310">
        <v>39026</v>
      </c>
      <c r="D22" s="310">
        <v>39211.760000000002</v>
      </c>
      <c r="E22" s="310">
        <v>10471</v>
      </c>
      <c r="F22" s="310">
        <v>88708.760000000009</v>
      </c>
      <c r="G22" s="311">
        <f t="shared" ref="G22:G31" si="2">(F22-C22)/C22</f>
        <v>1.2730682109362992</v>
      </c>
      <c r="H22" s="671">
        <f t="shared" ref="H22:H31" si="3">E22/(C22+D22)</f>
        <v>0.13383563128596726</v>
      </c>
    </row>
    <row r="23" spans="2:8">
      <c r="B23" s="670" t="s">
        <v>50</v>
      </c>
      <c r="C23" s="310">
        <v>68968</v>
      </c>
      <c r="D23" s="310">
        <v>18212</v>
      </c>
      <c r="E23" s="310">
        <v>16984</v>
      </c>
      <c r="F23" s="310">
        <v>104164</v>
      </c>
      <c r="G23" s="311">
        <f t="shared" si="2"/>
        <v>0.51032362834937939</v>
      </c>
      <c r="H23" s="671">
        <f t="shared" si="3"/>
        <v>0.19481532461573756</v>
      </c>
    </row>
    <row r="24" spans="2:8">
      <c r="B24" s="670" t="s">
        <v>58</v>
      </c>
      <c r="C24" s="310">
        <v>35.500000000000021</v>
      </c>
      <c r="D24" s="310"/>
      <c r="E24" s="310">
        <v>-35.5</v>
      </c>
      <c r="F24" s="310">
        <v>0</v>
      </c>
      <c r="G24" s="311">
        <f t="shared" si="2"/>
        <v>-1</v>
      </c>
      <c r="H24" s="671">
        <f t="shared" si="3"/>
        <v>-0.99999999999999944</v>
      </c>
    </row>
    <row r="25" spans="2:8">
      <c r="B25" s="670" t="s">
        <v>51</v>
      </c>
      <c r="C25" s="310">
        <v>29214</v>
      </c>
      <c r="D25" s="310">
        <v>10100</v>
      </c>
      <c r="E25" s="310">
        <v>8828</v>
      </c>
      <c r="F25" s="310">
        <v>48142</v>
      </c>
      <c r="G25" s="311">
        <f t="shared" si="2"/>
        <v>0.64790853700280693</v>
      </c>
      <c r="H25" s="671">
        <f t="shared" si="3"/>
        <v>0.22455105051635549</v>
      </c>
    </row>
    <row r="26" spans="2:8">
      <c r="B26" s="670" t="s">
        <v>52</v>
      </c>
      <c r="C26" s="310">
        <v>27298</v>
      </c>
      <c r="D26" s="310"/>
      <c r="E26" s="310"/>
      <c r="F26" s="310">
        <v>27298</v>
      </c>
      <c r="G26" s="311">
        <f t="shared" si="2"/>
        <v>0</v>
      </c>
      <c r="H26" s="671">
        <f t="shared" si="3"/>
        <v>0</v>
      </c>
    </row>
    <row r="27" spans="2:8">
      <c r="B27" s="670" t="s">
        <v>59</v>
      </c>
      <c r="C27" s="310">
        <v>5554.1399999999994</v>
      </c>
      <c r="D27" s="310"/>
      <c r="E27" s="310">
        <v>-5554.1399999999994</v>
      </c>
      <c r="F27" s="310">
        <v>0</v>
      </c>
      <c r="G27" s="311">
        <f t="shared" si="2"/>
        <v>-1</v>
      </c>
      <c r="H27" s="671">
        <f t="shared" si="3"/>
        <v>-1</v>
      </c>
    </row>
    <row r="28" spans="2:8">
      <c r="B28" s="670" t="s">
        <v>53</v>
      </c>
      <c r="C28" s="310">
        <v>0</v>
      </c>
      <c r="D28" s="310">
        <v>3000</v>
      </c>
      <c r="E28" s="310">
        <v>14</v>
      </c>
      <c r="F28" s="310">
        <v>3014</v>
      </c>
      <c r="G28" s="311" t="e">
        <f t="shared" si="2"/>
        <v>#DIV/0!</v>
      </c>
      <c r="H28" s="671">
        <f t="shared" si="3"/>
        <v>4.6666666666666671E-3</v>
      </c>
    </row>
    <row r="29" spans="2:8">
      <c r="B29" s="670" t="s">
        <v>54</v>
      </c>
      <c r="C29" s="310">
        <v>173715</v>
      </c>
      <c r="D29" s="310">
        <v>-23895</v>
      </c>
      <c r="E29" s="310">
        <v>45801</v>
      </c>
      <c r="F29" s="310">
        <v>195621</v>
      </c>
      <c r="G29" s="311">
        <f t="shared" si="2"/>
        <v>0.12610309990501684</v>
      </c>
      <c r="H29" s="671">
        <f t="shared" si="3"/>
        <v>0.30570684821786143</v>
      </c>
    </row>
    <row r="30" spans="2:8">
      <c r="B30" s="672" t="s">
        <v>55</v>
      </c>
      <c r="C30" s="313">
        <v>1119.06</v>
      </c>
      <c r="D30" s="314"/>
      <c r="E30" s="314">
        <v>105.19000000000007</v>
      </c>
      <c r="F30" s="314">
        <v>1224.25</v>
      </c>
      <c r="G30" s="315">
        <f t="shared" si="2"/>
        <v>9.3998534484299373E-2</v>
      </c>
      <c r="H30" s="673">
        <f t="shared" si="3"/>
        <v>9.3998534484299387E-2</v>
      </c>
    </row>
    <row r="31" spans="2:8">
      <c r="B31" s="674" t="s">
        <v>56</v>
      </c>
      <c r="C31" s="675">
        <v>344929.7</v>
      </c>
      <c r="D31" s="675">
        <v>46628.760000000009</v>
      </c>
      <c r="E31" s="675">
        <v>76613.55</v>
      </c>
      <c r="F31" s="675">
        <v>468172.01</v>
      </c>
      <c r="G31" s="676">
        <f t="shared" si="2"/>
        <v>0.35729689267117326</v>
      </c>
      <c r="H31" s="677">
        <f t="shared" si="3"/>
        <v>0.1956631201379227</v>
      </c>
    </row>
    <row r="32" spans="2:8">
      <c r="B32" s="157"/>
      <c r="C32" s="680">
        <v>2023</v>
      </c>
      <c r="D32" s="678" t="s">
        <v>44</v>
      </c>
      <c r="E32" s="678" t="s">
        <v>45</v>
      </c>
      <c r="F32" s="678" t="s">
        <v>46</v>
      </c>
      <c r="G32" s="678" t="s">
        <v>47</v>
      </c>
      <c r="H32" s="681" t="s">
        <v>48</v>
      </c>
    </row>
    <row r="33" spans="2:8">
      <c r="B33" s="54" t="s">
        <v>49</v>
      </c>
      <c r="C33" s="310">
        <v>36511</v>
      </c>
      <c r="D33" s="310">
        <v>2000</v>
      </c>
      <c r="E33" s="310">
        <v>515</v>
      </c>
      <c r="F33" s="310">
        <v>39026</v>
      </c>
      <c r="G33" s="311">
        <f t="shared" ref="G33:G41" si="4">(F33-C33)/C33</f>
        <v>6.8883350223220396E-2</v>
      </c>
      <c r="H33" s="312">
        <f t="shared" ref="H33:H41" si="5">E33/(C33+D33)</f>
        <v>1.3372802575887409E-2</v>
      </c>
    </row>
    <row r="34" spans="2:8">
      <c r="B34" s="54" t="s">
        <v>50</v>
      </c>
      <c r="C34" s="310">
        <v>65668</v>
      </c>
      <c r="D34" s="310">
        <v>3300</v>
      </c>
      <c r="E34" s="310"/>
      <c r="F34" s="310">
        <v>68968</v>
      </c>
      <c r="G34" s="311">
        <f t="shared" si="4"/>
        <v>5.0252786745446795E-2</v>
      </c>
      <c r="H34" s="312">
        <f t="shared" si="5"/>
        <v>0</v>
      </c>
    </row>
    <row r="35" spans="2:8">
      <c r="B35" s="54" t="s">
        <v>58</v>
      </c>
      <c r="C35" s="310">
        <v>150.26000000000002</v>
      </c>
      <c r="D35" s="310">
        <v>-24.07</v>
      </c>
      <c r="E35" s="310">
        <v>-90.69</v>
      </c>
      <c r="F35" s="310">
        <v>35.500000000000028</v>
      </c>
      <c r="G35" s="311">
        <f t="shared" si="4"/>
        <v>-0.76374284573406082</v>
      </c>
      <c r="H35" s="312">
        <f t="shared" si="5"/>
        <v>-0.71867818369125902</v>
      </c>
    </row>
    <row r="36" spans="2:8">
      <c r="B36" s="54" t="s">
        <v>51</v>
      </c>
      <c r="C36" s="310">
        <v>23787</v>
      </c>
      <c r="D36" s="310">
        <v>3600</v>
      </c>
      <c r="E36" s="310">
        <v>1827</v>
      </c>
      <c r="F36" s="310">
        <v>29214</v>
      </c>
      <c r="G36" s="311">
        <f t="shared" si="4"/>
        <v>0.22814982973893302</v>
      </c>
      <c r="H36" s="312">
        <f t="shared" si="5"/>
        <v>6.671048307591193E-2</v>
      </c>
    </row>
    <row r="37" spans="2:8">
      <c r="B37" s="54" t="s">
        <v>52</v>
      </c>
      <c r="C37" s="310">
        <v>27298</v>
      </c>
      <c r="D37" s="310"/>
      <c r="E37" s="310"/>
      <c r="F37" s="310">
        <v>27298</v>
      </c>
      <c r="G37" s="311">
        <f t="shared" si="4"/>
        <v>0</v>
      </c>
      <c r="H37" s="312">
        <f t="shared" si="5"/>
        <v>0</v>
      </c>
    </row>
    <row r="38" spans="2:8">
      <c r="B38" s="54" t="s">
        <v>59</v>
      </c>
      <c r="C38" s="310">
        <v>5554.1399999999994</v>
      </c>
      <c r="D38" s="310"/>
      <c r="E38" s="310"/>
      <c r="F38" s="310">
        <v>5554.1399999999994</v>
      </c>
      <c r="G38" s="311">
        <f t="shared" si="4"/>
        <v>0</v>
      </c>
      <c r="H38" s="312">
        <f t="shared" si="5"/>
        <v>0</v>
      </c>
    </row>
    <row r="39" spans="2:8">
      <c r="B39" s="54" t="s">
        <v>54</v>
      </c>
      <c r="C39" s="310">
        <v>147725</v>
      </c>
      <c r="D39" s="310">
        <v>3876</v>
      </c>
      <c r="E39" s="310">
        <v>22114</v>
      </c>
      <c r="F39" s="310">
        <v>173715</v>
      </c>
      <c r="G39" s="311">
        <f t="shared" si="4"/>
        <v>0.17593501438483669</v>
      </c>
      <c r="H39" s="312">
        <f t="shared" si="5"/>
        <v>0.14586975019953693</v>
      </c>
    </row>
    <row r="40" spans="2:8">
      <c r="B40" s="123" t="s">
        <v>55</v>
      </c>
      <c r="C40" s="313">
        <v>1752.18</v>
      </c>
      <c r="D40" s="314"/>
      <c r="E40" s="314">
        <v>-665.76</v>
      </c>
      <c r="F40" s="314">
        <v>1086.42</v>
      </c>
      <c r="G40" s="315">
        <f t="shared" si="4"/>
        <v>-0.379960962914769</v>
      </c>
      <c r="H40" s="316">
        <f t="shared" si="5"/>
        <v>-0.379960962914769</v>
      </c>
    </row>
    <row r="41" spans="2:8">
      <c r="B41" s="122" t="s">
        <v>56</v>
      </c>
      <c r="C41" s="317">
        <v>308445.58</v>
      </c>
      <c r="D41" s="317">
        <v>12751.93</v>
      </c>
      <c r="E41" s="317">
        <v>23699.550000000003</v>
      </c>
      <c r="F41" s="317">
        <v>344897.06</v>
      </c>
      <c r="G41" s="318">
        <f t="shared" si="4"/>
        <v>0.11817799431588541</v>
      </c>
      <c r="H41" s="319">
        <f t="shared" si="5"/>
        <v>7.3784974235945988E-2</v>
      </c>
    </row>
    <row r="42" spans="2:8">
      <c r="B42" s="157"/>
      <c r="C42" s="680">
        <v>2022</v>
      </c>
      <c r="D42" s="678" t="s">
        <v>44</v>
      </c>
      <c r="E42" s="678" t="s">
        <v>45</v>
      </c>
      <c r="F42" s="678" t="s">
        <v>46</v>
      </c>
      <c r="G42" s="678" t="s">
        <v>47</v>
      </c>
      <c r="H42" s="681" t="s">
        <v>48</v>
      </c>
    </row>
    <row r="43" spans="2:8">
      <c r="B43" s="54" t="s">
        <v>49</v>
      </c>
      <c r="C43" s="310">
        <v>36511</v>
      </c>
      <c r="D43" s="310">
        <v>0</v>
      </c>
      <c r="E43" s="310">
        <v>0</v>
      </c>
      <c r="F43" s="310">
        <f>SUM(C43:E43)</f>
        <v>36511</v>
      </c>
      <c r="G43" s="311">
        <f t="shared" ref="G43:G51" si="6">(F43-C43)/C43</f>
        <v>0</v>
      </c>
      <c r="H43" s="312">
        <f t="shared" ref="H43:H51" si="7">E43/(C43+D43)</f>
        <v>0</v>
      </c>
    </row>
    <row r="44" spans="2:8">
      <c r="B44" s="54" t="s">
        <v>50</v>
      </c>
      <c r="C44" s="310">
        <v>51621</v>
      </c>
      <c r="D44" s="310">
        <v>14047</v>
      </c>
      <c r="E44" s="310"/>
      <c r="F44" s="310">
        <f t="shared" ref="F44:F50" si="8">SUM(C44:E44)</f>
        <v>65668</v>
      </c>
      <c r="G44" s="311">
        <f t="shared" si="6"/>
        <v>0.27211793649871174</v>
      </c>
      <c r="H44" s="312">
        <f t="shared" si="7"/>
        <v>0</v>
      </c>
    </row>
    <row r="45" spans="2:8">
      <c r="B45" s="54" t="s">
        <v>58</v>
      </c>
      <c r="C45" s="310">
        <v>683</v>
      </c>
      <c r="D45" s="310">
        <v>-532.74</v>
      </c>
      <c r="E45" s="310">
        <v>0</v>
      </c>
      <c r="F45" s="310">
        <f t="shared" si="8"/>
        <v>150.26</v>
      </c>
      <c r="G45" s="311">
        <f t="shared" si="6"/>
        <v>-0.78</v>
      </c>
      <c r="H45" s="312">
        <f t="shared" si="7"/>
        <v>0</v>
      </c>
    </row>
    <row r="46" spans="2:8">
      <c r="B46" s="54" t="s">
        <v>51</v>
      </c>
      <c r="C46" s="310">
        <v>20187</v>
      </c>
      <c r="D46" s="310">
        <v>0</v>
      </c>
      <c r="E46" s="310">
        <v>3600</v>
      </c>
      <c r="F46" s="310">
        <f t="shared" si="8"/>
        <v>23787</v>
      </c>
      <c r="G46" s="311">
        <f t="shared" si="6"/>
        <v>0.17833259028087384</v>
      </c>
      <c r="H46" s="312">
        <f t="shared" si="7"/>
        <v>0.17833259028087384</v>
      </c>
    </row>
    <row r="47" spans="2:8">
      <c r="B47" s="54" t="s">
        <v>52</v>
      </c>
      <c r="C47" s="310">
        <v>27298</v>
      </c>
      <c r="D47" s="310"/>
      <c r="E47" s="310"/>
      <c r="F47" s="310">
        <f t="shared" si="8"/>
        <v>27298</v>
      </c>
      <c r="G47" s="311">
        <f t="shared" si="6"/>
        <v>0</v>
      </c>
      <c r="H47" s="312">
        <f t="shared" si="7"/>
        <v>0</v>
      </c>
    </row>
    <row r="48" spans="2:8">
      <c r="B48" s="54" t="s">
        <v>59</v>
      </c>
      <c r="C48" s="310">
        <v>5554.1399999999994</v>
      </c>
      <c r="D48" s="310"/>
      <c r="E48" s="310"/>
      <c r="F48" s="310">
        <f t="shared" si="8"/>
        <v>5554.1399999999994</v>
      </c>
      <c r="G48" s="311">
        <f t="shared" si="6"/>
        <v>0</v>
      </c>
      <c r="H48" s="312">
        <f t="shared" si="7"/>
        <v>0</v>
      </c>
    </row>
    <row r="49" spans="2:8">
      <c r="B49" s="54" t="s">
        <v>54</v>
      </c>
      <c r="C49" s="310">
        <v>109005</v>
      </c>
      <c r="D49" s="310">
        <v>0</v>
      </c>
      <c r="E49" s="310">
        <v>38720</v>
      </c>
      <c r="F49" s="310">
        <f t="shared" si="8"/>
        <v>147725</v>
      </c>
      <c r="G49" s="311">
        <f t="shared" si="6"/>
        <v>0.3552130636209348</v>
      </c>
      <c r="H49" s="312">
        <f t="shared" si="7"/>
        <v>0.3552130636209348</v>
      </c>
    </row>
    <row r="50" spans="2:8">
      <c r="B50" s="123" t="s">
        <v>55</v>
      </c>
      <c r="C50" s="313">
        <v>815.24</v>
      </c>
      <c r="D50" s="314"/>
      <c r="E50" s="314">
        <v>936.76</v>
      </c>
      <c r="F50" s="684">
        <f t="shared" si="8"/>
        <v>1752</v>
      </c>
      <c r="G50" s="315">
        <f t="shared" si="6"/>
        <v>1.1490603993915902</v>
      </c>
      <c r="H50" s="316">
        <f t="shared" si="7"/>
        <v>1.1490603993915902</v>
      </c>
    </row>
    <row r="51" spans="2:8">
      <c r="B51" s="122" t="s">
        <v>56</v>
      </c>
      <c r="C51" s="317">
        <f>SUM(C43:C50)</f>
        <v>251674.38</v>
      </c>
      <c r="D51" s="317">
        <f>SUM(D43:D50)</f>
        <v>13514.26</v>
      </c>
      <c r="E51" s="317">
        <f>SUM(E43:E50)</f>
        <v>43256.76</v>
      </c>
      <c r="F51" s="317">
        <f>SUM(F43:F50)</f>
        <v>308445.40000000002</v>
      </c>
      <c r="G51" s="318">
        <f t="shared" si="6"/>
        <v>0.2255732983230157</v>
      </c>
      <c r="H51" s="319">
        <f t="shared" si="7"/>
        <v>0.16311694196252147</v>
      </c>
    </row>
    <row r="52" spans="2:8">
      <c r="B52" s="157"/>
      <c r="C52" s="680">
        <v>2021</v>
      </c>
      <c r="D52" s="678" t="s">
        <v>44</v>
      </c>
      <c r="E52" s="678" t="s">
        <v>45</v>
      </c>
      <c r="F52" s="678" t="s">
        <v>46</v>
      </c>
      <c r="G52" s="678" t="s">
        <v>47</v>
      </c>
      <c r="H52" s="681" t="s">
        <v>48</v>
      </c>
    </row>
    <row r="53" spans="2:8">
      <c r="B53" s="54" t="s">
        <v>49</v>
      </c>
      <c r="C53" s="310">
        <v>28193.279999999999</v>
      </c>
      <c r="D53" s="310">
        <v>812</v>
      </c>
      <c r="E53" s="310">
        <v>7505.72</v>
      </c>
      <c r="F53" s="310">
        <f>SUM(C53:E53)</f>
        <v>36511</v>
      </c>
      <c r="G53" s="311">
        <f t="shared" ref="G53:G61" si="9">(F53-C53)/C53</f>
        <v>0.2950249137383093</v>
      </c>
      <c r="H53" s="312">
        <f t="shared" ref="H53:H61" si="10">E53/(C53+D53)</f>
        <v>0.25877081689954384</v>
      </c>
    </row>
    <row r="54" spans="2:8">
      <c r="B54" s="54" t="s">
        <v>50</v>
      </c>
      <c r="C54" s="310">
        <v>9619.4599999999991</v>
      </c>
      <c r="D54" s="310">
        <v>24499</v>
      </c>
      <c r="E54" s="310">
        <v>17502.54</v>
      </c>
      <c r="F54" s="310">
        <f t="shared" ref="F54:F60" si="11">SUM(C54:E54)</f>
        <v>51621</v>
      </c>
      <c r="G54" s="311">
        <f t="shared" si="9"/>
        <v>4.3663095433631414</v>
      </c>
      <c r="H54" s="312">
        <f t="shared" si="10"/>
        <v>0.51299325936750961</v>
      </c>
    </row>
    <row r="55" spans="2:8">
      <c r="B55" s="54" t="s">
        <v>58</v>
      </c>
      <c r="C55" s="310">
        <v>915</v>
      </c>
      <c r="D55" s="310">
        <v>-235</v>
      </c>
      <c r="E55" s="310">
        <v>3</v>
      </c>
      <c r="F55" s="310">
        <f t="shared" si="11"/>
        <v>683</v>
      </c>
      <c r="G55" s="311">
        <f t="shared" si="9"/>
        <v>-0.253551912568306</v>
      </c>
      <c r="H55" s="312">
        <f t="shared" si="10"/>
        <v>4.4117647058823529E-3</v>
      </c>
    </row>
    <row r="56" spans="2:8">
      <c r="B56" s="54" t="s">
        <v>51</v>
      </c>
      <c r="C56" s="310">
        <v>12451</v>
      </c>
      <c r="D56" s="310">
        <v>3500.4</v>
      </c>
      <c r="E56" s="310">
        <v>4235.6000000000004</v>
      </c>
      <c r="F56" s="310">
        <f t="shared" si="11"/>
        <v>20187</v>
      </c>
      <c r="G56" s="311">
        <f t="shared" si="9"/>
        <v>0.62131555698337482</v>
      </c>
      <c r="H56" s="312">
        <f t="shared" si="10"/>
        <v>0.26553155208947182</v>
      </c>
    </row>
    <row r="57" spans="2:8">
      <c r="B57" s="54" t="s">
        <v>52</v>
      </c>
      <c r="C57" s="310">
        <v>0</v>
      </c>
      <c r="D57" s="310">
        <v>27298</v>
      </c>
      <c r="E57" s="310"/>
      <c r="F57" s="310">
        <f t="shared" si="11"/>
        <v>27298</v>
      </c>
      <c r="G57" s="311" t="e">
        <f t="shared" si="9"/>
        <v>#DIV/0!</v>
      </c>
      <c r="H57" s="312">
        <f t="shared" si="10"/>
        <v>0</v>
      </c>
    </row>
    <row r="58" spans="2:8">
      <c r="B58" s="54" t="s">
        <v>59</v>
      </c>
      <c r="C58" s="310">
        <v>0</v>
      </c>
      <c r="D58" s="310">
        <v>5554.14</v>
      </c>
      <c r="E58" s="310"/>
      <c r="F58" s="310">
        <f t="shared" si="11"/>
        <v>5554.14</v>
      </c>
      <c r="G58" s="311" t="e">
        <f t="shared" si="9"/>
        <v>#DIV/0!</v>
      </c>
      <c r="H58" s="312">
        <f t="shared" si="10"/>
        <v>0</v>
      </c>
    </row>
    <row r="59" spans="2:8">
      <c r="B59" s="54" t="s">
        <v>54</v>
      </c>
      <c r="C59" s="310">
        <v>83073.67</v>
      </c>
      <c r="D59" s="310">
        <v>6612</v>
      </c>
      <c r="E59" s="310">
        <v>19319.93</v>
      </c>
      <c r="F59" s="310">
        <f t="shared" si="11"/>
        <v>109005.6</v>
      </c>
      <c r="G59" s="311">
        <f t="shared" si="9"/>
        <v>0.3121558250646686</v>
      </c>
      <c r="H59" s="312">
        <f t="shared" si="10"/>
        <v>0.21541824909152155</v>
      </c>
    </row>
    <row r="60" spans="2:8">
      <c r="B60" s="123" t="s">
        <v>55</v>
      </c>
      <c r="C60" s="313">
        <v>1500.65</v>
      </c>
      <c r="D60" s="314"/>
      <c r="E60" s="314">
        <v>-685.41</v>
      </c>
      <c r="F60" s="684">
        <f t="shared" si="11"/>
        <v>815.24000000000012</v>
      </c>
      <c r="G60" s="315">
        <f t="shared" si="9"/>
        <v>-0.45674207843267911</v>
      </c>
      <c r="H60" s="316">
        <f t="shared" si="10"/>
        <v>-0.45674207843267911</v>
      </c>
    </row>
    <row r="61" spans="2:8">
      <c r="B61" s="122" t="s">
        <v>56</v>
      </c>
      <c r="C61" s="317">
        <f>SUM(C53:C60)</f>
        <v>135753.06</v>
      </c>
      <c r="D61" s="317">
        <f>SUM(D53:D60)</f>
        <v>68040.540000000008</v>
      </c>
      <c r="E61" s="317">
        <f>SUM(E53:E60)</f>
        <v>47881.38</v>
      </c>
      <c r="F61" s="317">
        <f>SUM(F53:F60)</f>
        <v>251674.98</v>
      </c>
      <c r="G61" s="318">
        <f t="shared" si="9"/>
        <v>0.8539175470519782</v>
      </c>
      <c r="H61" s="319">
        <f t="shared" si="10"/>
        <v>0.23495036154226628</v>
      </c>
    </row>
    <row r="62" spans="2:8">
      <c r="B62" s="157"/>
      <c r="C62" s="680">
        <v>2020</v>
      </c>
      <c r="D62" s="678" t="s">
        <v>44</v>
      </c>
      <c r="E62" s="678" t="s">
        <v>45</v>
      </c>
      <c r="F62" s="678" t="s">
        <v>46</v>
      </c>
      <c r="G62" s="678" t="s">
        <v>47</v>
      </c>
      <c r="H62" s="681" t="s">
        <v>48</v>
      </c>
    </row>
    <row r="63" spans="2:8">
      <c r="B63" s="54" t="s">
        <v>49</v>
      </c>
      <c r="C63" s="310">
        <v>16216.54</v>
      </c>
      <c r="D63" s="310">
        <v>8773</v>
      </c>
      <c r="E63" s="310">
        <v>3203.7400000000002</v>
      </c>
      <c r="F63" s="310">
        <f>SUM(C63:E63)</f>
        <v>28193.280000000002</v>
      </c>
      <c r="G63" s="311">
        <f t="shared" ref="G63:G69" si="12">(F63-C63)/C63</f>
        <v>0.73855088693395765</v>
      </c>
      <c r="H63" s="312">
        <f t="shared" ref="H63:H69" si="13">E63/(C63+D63)</f>
        <v>0.12820324023571464</v>
      </c>
    </row>
    <row r="64" spans="2:8">
      <c r="B64" s="54" t="s">
        <v>50</v>
      </c>
      <c r="C64" s="310">
        <v>2288.46</v>
      </c>
      <c r="D64" s="310">
        <v>1100</v>
      </c>
      <c r="E64" s="310">
        <v>6231</v>
      </c>
      <c r="F64" s="310">
        <f t="shared" ref="F64:F68" si="14">SUM(C64:E64)</f>
        <v>9619.4599999999991</v>
      </c>
      <c r="G64" s="311">
        <f t="shared" si="12"/>
        <v>3.2034643384634203</v>
      </c>
      <c r="H64" s="312">
        <f t="shared" si="13"/>
        <v>1.8388884626054314</v>
      </c>
    </row>
    <row r="65" spans="2:8">
      <c r="B65" s="54" t="s">
        <v>58</v>
      </c>
      <c r="C65" s="310">
        <v>1421</v>
      </c>
      <c r="D65" s="310">
        <v>-583</v>
      </c>
      <c r="E65" s="310">
        <v>77</v>
      </c>
      <c r="F65" s="310">
        <f t="shared" si="14"/>
        <v>915</v>
      </c>
      <c r="G65" s="311">
        <f t="shared" si="12"/>
        <v>-0.35608726249120337</v>
      </c>
      <c r="H65" s="312">
        <f t="shared" si="13"/>
        <v>9.1885441527446307E-2</v>
      </c>
    </row>
    <row r="66" spans="2:8">
      <c r="B66" s="54" t="s">
        <v>51</v>
      </c>
      <c r="C66" s="310">
        <v>8709</v>
      </c>
      <c r="D66" s="310">
        <v>1950</v>
      </c>
      <c r="E66" s="310">
        <v>1792</v>
      </c>
      <c r="F66" s="310">
        <f t="shared" si="14"/>
        <v>12451</v>
      </c>
      <c r="G66" s="311">
        <f t="shared" si="12"/>
        <v>0.42967045585026986</v>
      </c>
      <c r="H66" s="312">
        <f t="shared" si="13"/>
        <v>0.16812083685148702</v>
      </c>
    </row>
    <row r="67" spans="2:8">
      <c r="B67" s="54" t="s">
        <v>54</v>
      </c>
      <c r="C67" s="310">
        <v>60554.67</v>
      </c>
      <c r="D67" s="310">
        <v>6433</v>
      </c>
      <c r="E67" s="310">
        <v>16086</v>
      </c>
      <c r="F67" s="310">
        <f t="shared" si="14"/>
        <v>83073.67</v>
      </c>
      <c r="G67" s="311">
        <f t="shared" si="12"/>
        <v>0.37187883279687595</v>
      </c>
      <c r="H67" s="312">
        <f t="shared" si="13"/>
        <v>0.24013374401587637</v>
      </c>
    </row>
    <row r="68" spans="2:8">
      <c r="B68" s="123" t="s">
        <v>55</v>
      </c>
      <c r="C68" s="313">
        <v>2018</v>
      </c>
      <c r="D68" s="314"/>
      <c r="E68" s="314">
        <v>-517.41</v>
      </c>
      <c r="F68" s="684">
        <f t="shared" si="14"/>
        <v>1500.5900000000001</v>
      </c>
      <c r="G68" s="315">
        <f t="shared" si="12"/>
        <v>-0.2563974231912784</v>
      </c>
      <c r="H68" s="316">
        <f t="shared" si="13"/>
        <v>-0.25639742319127845</v>
      </c>
    </row>
    <row r="69" spans="2:8">
      <c r="B69" s="122" t="s">
        <v>56</v>
      </c>
      <c r="C69" s="317">
        <f>SUM(C63:C68)</f>
        <v>91207.67</v>
      </c>
      <c r="D69" s="317">
        <f>SUM(D63:D68)</f>
        <v>17673</v>
      </c>
      <c r="E69" s="317">
        <f>SUM(E63:E68)</f>
        <v>26872.329999999998</v>
      </c>
      <c r="F69" s="317">
        <f>SUM(F63:F68)</f>
        <v>135753</v>
      </c>
      <c r="G69" s="318">
        <f t="shared" si="12"/>
        <v>0.48839456155386934</v>
      </c>
      <c r="H69" s="319">
        <f t="shared" si="13"/>
        <v>0.2468053328474191</v>
      </c>
    </row>
    <row r="70" spans="2:8">
      <c r="B70" s="157"/>
      <c r="C70" s="680">
        <v>2019</v>
      </c>
      <c r="D70" s="678" t="s">
        <v>44</v>
      </c>
      <c r="E70" s="678" t="s">
        <v>45</v>
      </c>
      <c r="F70" s="678" t="s">
        <v>46</v>
      </c>
      <c r="G70" s="678" t="s">
        <v>47</v>
      </c>
      <c r="H70" s="681" t="s">
        <v>48</v>
      </c>
    </row>
    <row r="71" spans="2:8">
      <c r="B71" s="54" t="s">
        <v>49</v>
      </c>
      <c r="C71" s="310">
        <v>12070.029999999999</v>
      </c>
      <c r="D71" s="310">
        <v>1769.54</v>
      </c>
      <c r="E71" s="310">
        <v>2377</v>
      </c>
      <c r="F71" s="310">
        <f>SUM(C71:E71)</f>
        <v>16216.57</v>
      </c>
      <c r="G71" s="311">
        <f t="shared" ref="G71:G77" si="15">(F71-C71)/C71</f>
        <v>0.34354015690101858</v>
      </c>
      <c r="H71" s="312">
        <f t="shared" ref="H71:H77" si="16">E71/(C71+D71)</f>
        <v>0.17175389119748663</v>
      </c>
    </row>
    <row r="72" spans="2:8">
      <c r="B72" s="54" t="s">
        <v>50</v>
      </c>
      <c r="C72" s="310">
        <v>0</v>
      </c>
      <c r="D72" s="310">
        <v>4770.46</v>
      </c>
      <c r="E72" s="310">
        <v>-2482</v>
      </c>
      <c r="F72" s="310">
        <f t="shared" ref="F72:F76" si="17">SUM(C72:E72)</f>
        <v>2288.46</v>
      </c>
      <c r="G72" s="311" t="e">
        <f t="shared" si="15"/>
        <v>#DIV/0!</v>
      </c>
      <c r="H72" s="312">
        <f t="shared" si="16"/>
        <v>-0.52028525550995086</v>
      </c>
    </row>
    <row r="73" spans="2:8">
      <c r="B73" s="54" t="s">
        <v>58</v>
      </c>
      <c r="C73" s="310">
        <v>1799</v>
      </c>
      <c r="D73" s="310">
        <v>-112</v>
      </c>
      <c r="E73" s="310">
        <v>-266</v>
      </c>
      <c r="F73" s="310">
        <f t="shared" si="17"/>
        <v>1421</v>
      </c>
      <c r="G73" s="311">
        <f t="shared" si="15"/>
        <v>-0.21011673151750973</v>
      </c>
      <c r="H73" s="312">
        <f t="shared" si="16"/>
        <v>-0.15767634854771784</v>
      </c>
    </row>
    <row r="74" spans="2:8">
      <c r="B74" s="54" t="s">
        <v>51</v>
      </c>
      <c r="C74" s="310">
        <v>6901</v>
      </c>
      <c r="D74" s="310">
        <v>312</v>
      </c>
      <c r="E74" s="310">
        <v>1496</v>
      </c>
      <c r="F74" s="310">
        <f t="shared" si="17"/>
        <v>8709</v>
      </c>
      <c r="G74" s="311">
        <f t="shared" si="15"/>
        <v>0.26199101579481232</v>
      </c>
      <c r="H74" s="312">
        <f t="shared" si="16"/>
        <v>0.20740329959794815</v>
      </c>
    </row>
    <row r="75" spans="2:8">
      <c r="B75" s="54" t="s">
        <v>54</v>
      </c>
      <c r="C75" s="310">
        <v>44223.67</v>
      </c>
      <c r="D75" s="310">
        <v>6396.74</v>
      </c>
      <c r="E75" s="310">
        <v>9934.26</v>
      </c>
      <c r="F75" s="310">
        <f t="shared" si="17"/>
        <v>60554.67</v>
      </c>
      <c r="G75" s="311">
        <f t="shared" si="15"/>
        <v>0.36928188004297247</v>
      </c>
      <c r="H75" s="312">
        <f t="shared" si="16"/>
        <v>0.19625008963775681</v>
      </c>
    </row>
    <row r="76" spans="2:8">
      <c r="B76" s="123" t="s">
        <v>55</v>
      </c>
      <c r="C76" s="313">
        <v>3411.64</v>
      </c>
      <c r="D76" s="314">
        <v>0</v>
      </c>
      <c r="E76" s="314">
        <v>-1393.5800000000002</v>
      </c>
      <c r="F76" s="684">
        <f t="shared" si="17"/>
        <v>2018.0599999999997</v>
      </c>
      <c r="G76" s="315">
        <f t="shared" si="15"/>
        <v>-0.40847803402469202</v>
      </c>
      <c r="H76" s="316">
        <f t="shared" si="16"/>
        <v>-0.40847803402469202</v>
      </c>
    </row>
    <row r="77" spans="2:8">
      <c r="B77" s="122" t="s">
        <v>56</v>
      </c>
      <c r="C77" s="317">
        <f>SUM(C71:C76)</f>
        <v>68405.34</v>
      </c>
      <c r="D77" s="317">
        <f>SUM(D71:D76)</f>
        <v>13136.74</v>
      </c>
      <c r="E77" s="317">
        <f>SUM(E71:E76)</f>
        <v>9665.68</v>
      </c>
      <c r="F77" s="317">
        <f>SUM(F71:F76)</f>
        <v>91207.76</v>
      </c>
      <c r="G77" s="318">
        <f t="shared" si="15"/>
        <v>0.33334268932805539</v>
      </c>
      <c r="H77" s="319">
        <f t="shared" si="16"/>
        <v>0.1185360981716434</v>
      </c>
    </row>
    <row r="78" spans="2:8">
      <c r="B78" s="157"/>
      <c r="C78" s="680">
        <v>2018</v>
      </c>
      <c r="D78" s="678" t="s">
        <v>44</v>
      </c>
      <c r="E78" s="678" t="s">
        <v>45</v>
      </c>
      <c r="F78" s="678" t="s">
        <v>46</v>
      </c>
      <c r="G78" s="678" t="s">
        <v>47</v>
      </c>
      <c r="H78" s="681" t="s">
        <v>48</v>
      </c>
    </row>
    <row r="79" spans="2:8">
      <c r="B79" s="54" t="s">
        <v>49</v>
      </c>
      <c r="C79" s="310">
        <v>9683</v>
      </c>
      <c r="D79" s="310">
        <v>1827</v>
      </c>
      <c r="E79" s="310">
        <v>560.03000000000009</v>
      </c>
      <c r="F79" s="310">
        <f>SUM(C79:E79)</f>
        <v>12070.03</v>
      </c>
      <c r="G79" s="311">
        <f t="shared" ref="G79:G84" si="18">(F79-C79)/C79</f>
        <v>0.24651760817928334</v>
      </c>
      <c r="H79" s="312">
        <f t="shared" ref="H79:H84" si="19">E79/(C79+D79)</f>
        <v>4.8655951346655089E-2</v>
      </c>
    </row>
    <row r="80" spans="2:8">
      <c r="B80" s="54" t="s">
        <v>58</v>
      </c>
      <c r="C80" s="310">
        <v>1622</v>
      </c>
      <c r="D80" s="310">
        <v>125</v>
      </c>
      <c r="E80" s="310">
        <v>52</v>
      </c>
      <c r="F80" s="310">
        <f t="shared" ref="F80:F83" si="20">SUM(C80:E80)</f>
        <v>1799</v>
      </c>
      <c r="G80" s="311">
        <f t="shared" si="18"/>
        <v>0.10912453760789149</v>
      </c>
      <c r="H80" s="312">
        <f t="shared" si="19"/>
        <v>2.9765311963365768E-2</v>
      </c>
    </row>
    <row r="81" spans="2:8">
      <c r="B81" s="54" t="s">
        <v>51</v>
      </c>
      <c r="C81" s="310">
        <v>6446</v>
      </c>
      <c r="D81" s="310">
        <v>75</v>
      </c>
      <c r="E81" s="310">
        <v>380</v>
      </c>
      <c r="F81" s="310">
        <f t="shared" si="20"/>
        <v>6901</v>
      </c>
      <c r="G81" s="311">
        <f t="shared" si="18"/>
        <v>7.0586410176853867E-2</v>
      </c>
      <c r="H81" s="312">
        <f t="shared" si="19"/>
        <v>5.8273270970710014E-2</v>
      </c>
    </row>
    <row r="82" spans="2:8">
      <c r="B82" s="54" t="s">
        <v>54</v>
      </c>
      <c r="C82" s="310">
        <v>36319.14</v>
      </c>
      <c r="D82" s="310">
        <v>5220</v>
      </c>
      <c r="E82" s="310">
        <v>2684.5299999999997</v>
      </c>
      <c r="F82" s="310">
        <f t="shared" si="20"/>
        <v>44223.67</v>
      </c>
      <c r="G82" s="311">
        <f t="shared" si="18"/>
        <v>0.2176408912766106</v>
      </c>
      <c r="H82" s="312">
        <f t="shared" si="19"/>
        <v>6.4626518507605105E-2</v>
      </c>
    </row>
    <row r="83" spans="2:8">
      <c r="B83" s="123" t="s">
        <v>55</v>
      </c>
      <c r="C83" s="313">
        <v>2876.44</v>
      </c>
      <c r="D83" s="314">
        <v>0</v>
      </c>
      <c r="E83" s="314">
        <v>535.20000000000005</v>
      </c>
      <c r="F83" s="684">
        <f t="shared" si="20"/>
        <v>3411.6400000000003</v>
      </c>
      <c r="G83" s="315">
        <f t="shared" si="18"/>
        <v>0.18606332828079161</v>
      </c>
      <c r="H83" s="316">
        <f t="shared" si="19"/>
        <v>0.18606332828079156</v>
      </c>
    </row>
    <row r="84" spans="2:8">
      <c r="B84" s="122" t="s">
        <v>56</v>
      </c>
      <c r="C84" s="317">
        <f>SUM(C79:C83)</f>
        <v>56946.58</v>
      </c>
      <c r="D84" s="317">
        <f>SUM(D79:D83)</f>
        <v>7247</v>
      </c>
      <c r="E84" s="317">
        <f>SUM(E79:E83)</f>
        <v>4211.76</v>
      </c>
      <c r="F84" s="317">
        <f>SUM(F79:F83)</f>
        <v>68405.34</v>
      </c>
      <c r="G84" s="318">
        <f t="shared" si="18"/>
        <v>0.20121945865756985</v>
      </c>
      <c r="H84" s="319">
        <f t="shared" si="19"/>
        <v>6.5610299347691775E-2</v>
      </c>
    </row>
    <row r="85" spans="2:8">
      <c r="B85" s="157"/>
      <c r="C85" s="680">
        <v>2017</v>
      </c>
      <c r="D85" s="678" t="s">
        <v>44</v>
      </c>
      <c r="E85" s="678" t="s">
        <v>45</v>
      </c>
      <c r="F85" s="678" t="s">
        <v>46</v>
      </c>
      <c r="G85" s="678" t="s">
        <v>47</v>
      </c>
      <c r="H85" s="681" t="s">
        <v>48</v>
      </c>
    </row>
    <row r="86" spans="2:8">
      <c r="B86" s="54" t="s">
        <v>49</v>
      </c>
      <c r="C86" s="310">
        <v>6430</v>
      </c>
      <c r="D86" s="310">
        <v>2380</v>
      </c>
      <c r="E86" s="310">
        <v>873</v>
      </c>
      <c r="F86" s="310">
        <f>SUM(C86:E86)</f>
        <v>9683</v>
      </c>
      <c r="G86" s="311">
        <f t="shared" ref="G86:G91" si="21">(F86-C86)/C86</f>
        <v>0.50590979782270606</v>
      </c>
      <c r="H86" s="312">
        <f t="shared" ref="H86:H91" si="22">E86/(C86+D86)</f>
        <v>9.9091940976163445E-2</v>
      </c>
    </row>
    <row r="87" spans="2:8">
      <c r="B87" s="54" t="s">
        <v>58</v>
      </c>
      <c r="C87" s="310">
        <v>1632</v>
      </c>
      <c r="D87" s="310">
        <v>0</v>
      </c>
      <c r="E87" s="310">
        <v>-10</v>
      </c>
      <c r="F87" s="310">
        <f t="shared" ref="F87:F90" si="23">SUM(C87:E87)</f>
        <v>1622</v>
      </c>
      <c r="G87" s="311">
        <f t="shared" si="21"/>
        <v>-6.1274509803921568E-3</v>
      </c>
      <c r="H87" s="312">
        <f t="shared" si="22"/>
        <v>-6.1274509803921568E-3</v>
      </c>
    </row>
    <row r="88" spans="2:8">
      <c r="B88" s="54" t="s">
        <v>51</v>
      </c>
      <c r="C88" s="310">
        <v>4997</v>
      </c>
      <c r="D88" s="310">
        <v>300</v>
      </c>
      <c r="E88" s="310">
        <v>1149</v>
      </c>
      <c r="F88" s="310">
        <f t="shared" si="23"/>
        <v>6446</v>
      </c>
      <c r="G88" s="311">
        <f t="shared" si="21"/>
        <v>0.28997398439063438</v>
      </c>
      <c r="H88" s="312">
        <f t="shared" si="22"/>
        <v>0.21691523503870117</v>
      </c>
    </row>
    <row r="89" spans="2:8">
      <c r="B89" s="54" t="s">
        <v>54</v>
      </c>
      <c r="C89" s="310">
        <v>23286.53</v>
      </c>
      <c r="D89" s="310">
        <v>4474.76</v>
      </c>
      <c r="E89" s="310">
        <f>8557+1</f>
        <v>8558</v>
      </c>
      <c r="F89" s="310">
        <f t="shared" si="23"/>
        <v>36319.29</v>
      </c>
      <c r="G89" s="311">
        <f t="shared" si="21"/>
        <v>0.55966947415523061</v>
      </c>
      <c r="H89" s="312">
        <f t="shared" si="22"/>
        <v>0.30827097732129882</v>
      </c>
    </row>
    <row r="90" spans="2:8">
      <c r="B90" s="123" t="s">
        <v>55</v>
      </c>
      <c r="C90" s="313">
        <v>2788.27</v>
      </c>
      <c r="D90" s="314">
        <v>0</v>
      </c>
      <c r="E90" s="314">
        <f>84.92+3</f>
        <v>87.92</v>
      </c>
      <c r="F90" s="684">
        <f t="shared" si="23"/>
        <v>2876.19</v>
      </c>
      <c r="G90" s="315">
        <f t="shared" si="21"/>
        <v>3.1532096963350062E-2</v>
      </c>
      <c r="H90" s="316">
        <f t="shared" si="22"/>
        <v>3.1532096963350034E-2</v>
      </c>
    </row>
    <row r="91" spans="2:8">
      <c r="B91" s="122" t="s">
        <v>56</v>
      </c>
      <c r="C91" s="317">
        <f>SUM(C86:C90)</f>
        <v>39133.799999999996</v>
      </c>
      <c r="D91" s="317">
        <f>SUM(D86:D90)</f>
        <v>7154.76</v>
      </c>
      <c r="E91" s="317">
        <f>SUM(E86:E90)</f>
        <v>10657.92</v>
      </c>
      <c r="F91" s="317">
        <f>SUM(F86:F90)</f>
        <v>56946.48</v>
      </c>
      <c r="G91" s="318">
        <f t="shared" si="21"/>
        <v>0.45517378838753225</v>
      </c>
      <c r="H91" s="319">
        <f t="shared" si="22"/>
        <v>0.23024954762040559</v>
      </c>
    </row>
    <row r="92" spans="2:8">
      <c r="B92" s="157"/>
      <c r="C92" s="680">
        <v>2016</v>
      </c>
      <c r="D92" s="678" t="s">
        <v>44</v>
      </c>
      <c r="E92" s="678" t="s">
        <v>45</v>
      </c>
      <c r="F92" s="678" t="s">
        <v>46</v>
      </c>
      <c r="G92" s="678" t="s">
        <v>47</v>
      </c>
      <c r="H92" s="681" t="s">
        <v>48</v>
      </c>
    </row>
    <row r="93" spans="2:8">
      <c r="B93" s="54" t="s">
        <v>49</v>
      </c>
      <c r="C93" s="310">
        <v>6030</v>
      </c>
      <c r="D93" s="310">
        <v>350</v>
      </c>
      <c r="E93" s="310">
        <f>4+16+30</f>
        <v>50</v>
      </c>
      <c r="F93" s="310">
        <f>SUM(C93:E93)</f>
        <v>6430</v>
      </c>
      <c r="G93" s="311">
        <f t="shared" ref="G93:G98" si="24">(F93-C93)/C93</f>
        <v>6.633499170812604E-2</v>
      </c>
      <c r="H93" s="312">
        <f t="shared" ref="H93:H98" si="25">E93/(C93+D93)</f>
        <v>7.8369905956112845E-3</v>
      </c>
    </row>
    <row r="94" spans="2:8">
      <c r="B94" s="54" t="s">
        <v>58</v>
      </c>
      <c r="C94" s="310">
        <v>1601</v>
      </c>
      <c r="D94" s="310">
        <v>0</v>
      </c>
      <c r="E94" s="310">
        <f>37-6</f>
        <v>31</v>
      </c>
      <c r="F94" s="310">
        <f t="shared" ref="F94:F97" si="26">SUM(C94:E94)</f>
        <v>1632</v>
      </c>
      <c r="G94" s="311">
        <f t="shared" si="24"/>
        <v>1.9362898188632106E-2</v>
      </c>
      <c r="H94" s="312">
        <f t="shared" si="25"/>
        <v>1.9362898188632106E-2</v>
      </c>
    </row>
    <row r="95" spans="2:8">
      <c r="B95" s="54" t="s">
        <v>51</v>
      </c>
      <c r="C95" s="310">
        <v>4176</v>
      </c>
      <c r="D95" s="310">
        <v>400</v>
      </c>
      <c r="E95" s="310">
        <v>421</v>
      </c>
      <c r="F95" s="310">
        <f t="shared" si="26"/>
        <v>4997</v>
      </c>
      <c r="G95" s="311">
        <f t="shared" si="24"/>
        <v>0.19659961685823754</v>
      </c>
      <c r="H95" s="312">
        <f t="shared" si="25"/>
        <v>9.2001748251748255E-2</v>
      </c>
    </row>
    <row r="96" spans="2:8">
      <c r="B96" s="54" t="s">
        <v>54</v>
      </c>
      <c r="C96" s="310">
        <v>7806.07</v>
      </c>
      <c r="D96" s="310">
        <v>3605</v>
      </c>
      <c r="E96" s="310">
        <v>11875.46</v>
      </c>
      <c r="F96" s="310">
        <f t="shared" si="26"/>
        <v>23286.53</v>
      </c>
      <c r="G96" s="311">
        <f t="shared" si="24"/>
        <v>1.9831310762009564</v>
      </c>
      <c r="H96" s="312">
        <f t="shared" si="25"/>
        <v>1.0406964465207906</v>
      </c>
    </row>
    <row r="97" spans="2:8">
      <c r="B97" s="123" t="s">
        <v>55</v>
      </c>
      <c r="C97" s="313">
        <v>1807.3499999999997</v>
      </c>
      <c r="D97" s="314"/>
      <c r="E97" s="314">
        <f>948.35+33</f>
        <v>981.35</v>
      </c>
      <c r="F97" s="684">
        <f t="shared" si="26"/>
        <v>2788.7</v>
      </c>
      <c r="G97" s="315">
        <f t="shared" si="24"/>
        <v>0.5429772871884252</v>
      </c>
      <c r="H97" s="316">
        <f t="shared" si="25"/>
        <v>0.5429772871884252</v>
      </c>
    </row>
    <row r="98" spans="2:8">
      <c r="B98" s="122" t="s">
        <v>56</v>
      </c>
      <c r="C98" s="317">
        <f>SUM(C93:C97)</f>
        <v>21420.42</v>
      </c>
      <c r="D98" s="317">
        <f>SUM(D93:D97)</f>
        <v>4355</v>
      </c>
      <c r="E98" s="317">
        <f>SUM(E93:E97)</f>
        <v>13358.81</v>
      </c>
      <c r="F98" s="317">
        <f>SUM(F93:F97)</f>
        <v>39134.229999999996</v>
      </c>
      <c r="G98" s="318">
        <f t="shared" si="24"/>
        <v>0.82695904188620017</v>
      </c>
      <c r="H98" s="319">
        <f t="shared" si="25"/>
        <v>0.5182771027591403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Z331"/>
  <sheetViews>
    <sheetView zoomScale="55" zoomScaleNormal="55" zoomScalePageLayoutView="85" workbookViewId="0">
      <selection activeCell="AD18" sqref="AD18"/>
    </sheetView>
  </sheetViews>
  <sheetFormatPr defaultColWidth="8.85546875" defaultRowHeight="12.75" outlineLevelRow="2"/>
  <cols>
    <col min="1" max="1" width="2.7109375" style="2" customWidth="1"/>
    <col min="2" max="2" width="7.5703125" style="2" bestFit="1" customWidth="1"/>
    <col min="3" max="3" width="13.28515625" style="2" customWidth="1"/>
    <col min="4" max="5" width="12.5703125" style="2" bestFit="1" customWidth="1"/>
    <col min="6" max="6" width="13.42578125" style="2" bestFit="1" customWidth="1"/>
    <col min="7" max="7" width="14.85546875" style="2" bestFit="1" customWidth="1"/>
    <col min="8" max="8" width="11.42578125" style="2" customWidth="1"/>
    <col min="9" max="9" width="2.7109375" style="2" customWidth="1"/>
    <col min="10" max="10" width="12.7109375" style="2" bestFit="1" customWidth="1"/>
    <col min="11" max="11" width="10.42578125" style="2" bestFit="1" customWidth="1"/>
    <col min="12" max="12" width="11.42578125" style="2" bestFit="1" customWidth="1"/>
    <col min="13" max="13" width="10.7109375" style="2" bestFit="1" customWidth="1"/>
    <col min="14" max="14" width="11.85546875" style="2" bestFit="1" customWidth="1"/>
    <col min="15" max="15" width="11.42578125" style="2" bestFit="1" customWidth="1"/>
    <col min="16" max="16" width="10.42578125" style="2" bestFit="1" customWidth="1"/>
    <col min="17" max="17" width="10.7109375" style="2" bestFit="1" customWidth="1"/>
    <col min="18" max="18" width="10.5703125" style="2" customWidth="1"/>
    <col min="19" max="19" width="11.28515625" style="2" customWidth="1"/>
    <col min="20" max="20" width="12" style="2" customWidth="1"/>
    <col min="21" max="21" width="12.28515625" style="2" customWidth="1"/>
    <col min="22" max="22" width="13.5703125" style="2" customWidth="1"/>
    <col min="23" max="23" width="11.5703125" style="2" customWidth="1"/>
    <col min="24" max="24" width="13.140625" style="2" customWidth="1"/>
    <col min="25" max="25" width="12.85546875" style="2" customWidth="1"/>
    <col min="26" max="26" width="10.28515625" style="2" bestFit="1" customWidth="1"/>
    <col min="27" max="27" width="11.85546875" style="2" customWidth="1"/>
    <col min="28" max="28" width="11.42578125" style="2" bestFit="1" customWidth="1"/>
    <col min="29" max="29" width="12" style="2" bestFit="1" customWidth="1"/>
    <col min="30" max="30" width="10.7109375" style="2" bestFit="1" customWidth="1"/>
    <col min="31" max="31" width="11.42578125" style="2" customWidth="1"/>
    <col min="32" max="32" width="10.42578125" style="2" bestFit="1" customWidth="1"/>
    <col min="33" max="33" width="11.28515625" style="2" bestFit="1" customWidth="1"/>
    <col min="34" max="34" width="11.140625" style="2" customWidth="1"/>
    <col min="35" max="35" width="13.85546875" style="2" customWidth="1"/>
    <col min="36" max="36" width="11.28515625" style="2" bestFit="1" customWidth="1"/>
    <col min="37" max="37" width="14.28515625" style="2" customWidth="1"/>
    <col min="38" max="38" width="10.42578125" style="2" bestFit="1" customWidth="1"/>
    <col min="39" max="39" width="12.28515625" style="2" bestFit="1" customWidth="1"/>
    <col min="40" max="40" width="11.28515625" style="2" bestFit="1" customWidth="1"/>
    <col min="41" max="41" width="10.42578125" style="2" bestFit="1" customWidth="1"/>
    <col min="42" max="42" width="11.28515625" style="2" bestFit="1" customWidth="1"/>
    <col min="43" max="43" width="13.28515625" style="2" customWidth="1"/>
    <col min="44" max="44" width="11.42578125" style="2" bestFit="1" customWidth="1"/>
    <col min="45" max="45" width="12.28515625" style="2" bestFit="1" customWidth="1"/>
    <col min="46" max="46" width="12" style="2" customWidth="1"/>
    <col min="47" max="47" width="11.28515625" style="2" bestFit="1" customWidth="1"/>
    <col min="48" max="48" width="9.85546875" style="2" bestFit="1" customWidth="1"/>
    <col min="49" max="49" width="8.85546875" style="2"/>
    <col min="50" max="50" width="13.7109375" style="2" bestFit="1" customWidth="1"/>
    <col min="51" max="51" width="11.28515625" style="2" bestFit="1" customWidth="1"/>
    <col min="52" max="52" width="10.42578125" style="2" bestFit="1" customWidth="1"/>
    <col min="53" max="16384" width="8.85546875" style="2"/>
  </cols>
  <sheetData>
    <row r="1" spans="2:35" ht="13.5" thickBot="1"/>
    <row r="2" spans="2:35" ht="13.5" customHeight="1">
      <c r="B2" s="116">
        <v>2026</v>
      </c>
      <c r="C2" s="50"/>
      <c r="D2" s="34"/>
      <c r="H2" s="51"/>
      <c r="L2" s="713" t="s">
        <v>3</v>
      </c>
      <c r="M2" s="714"/>
      <c r="N2" s="714"/>
      <c r="O2" s="714"/>
      <c r="P2" s="714"/>
      <c r="Q2" s="714"/>
      <c r="R2" s="714"/>
      <c r="S2" s="130"/>
      <c r="X2" s="31" t="s">
        <v>43</v>
      </c>
    </row>
    <row r="3" spans="2:35" ht="24.75">
      <c r="B3" s="131" t="s">
        <v>0</v>
      </c>
      <c r="C3" s="155" t="s">
        <v>1</v>
      </c>
      <c r="D3" s="131" t="s">
        <v>60</v>
      </c>
      <c r="E3" s="131" t="s">
        <v>61</v>
      </c>
      <c r="F3" s="121" t="s">
        <v>62</v>
      </c>
      <c r="G3" s="113" t="s">
        <v>63</v>
      </c>
      <c r="H3" s="113" t="s">
        <v>64</v>
      </c>
      <c r="I3" s="156"/>
      <c r="J3" s="131" t="s">
        <v>0</v>
      </c>
      <c r="K3" s="132" t="s">
        <v>65</v>
      </c>
      <c r="L3" s="45" t="s">
        <v>27</v>
      </c>
      <c r="M3" s="46" t="s">
        <v>66</v>
      </c>
      <c r="N3" s="46" t="s">
        <v>67</v>
      </c>
      <c r="O3" s="46" t="s">
        <v>25</v>
      </c>
      <c r="P3" s="46" t="s">
        <v>23</v>
      </c>
      <c r="Q3" s="46" t="s">
        <v>68</v>
      </c>
      <c r="R3" s="46" t="s">
        <v>16</v>
      </c>
      <c r="S3" s="139" t="s">
        <v>69</v>
      </c>
      <c r="T3" s="117" t="s">
        <v>3</v>
      </c>
      <c r="U3" s="132" t="s">
        <v>43</v>
      </c>
      <c r="V3" s="117" t="s">
        <v>29</v>
      </c>
      <c r="W3" s="133" t="s">
        <v>70</v>
      </c>
      <c r="X3" s="157"/>
      <c r="Y3" s="52">
        <v>2025</v>
      </c>
      <c r="Z3" s="117" t="s">
        <v>44</v>
      </c>
      <c r="AA3" s="117" t="s">
        <v>45</v>
      </c>
      <c r="AB3" s="117" t="s">
        <v>46</v>
      </c>
      <c r="AC3" s="117" t="s">
        <v>47</v>
      </c>
      <c r="AD3" s="121" t="s">
        <v>48</v>
      </c>
    </row>
    <row r="4" spans="2:35">
      <c r="B4" s="489">
        <v>46023</v>
      </c>
      <c r="C4" s="472">
        <f>Jan!W73</f>
        <v>1083924.31</v>
      </c>
      <c r="D4" s="373">
        <f>K42</f>
        <v>13325</v>
      </c>
      <c r="E4" s="373">
        <f>L42</f>
        <v>-13407</v>
      </c>
      <c r="F4" s="473">
        <f t="shared" ref="F4:F15" si="0">D4+E4</f>
        <v>-82</v>
      </c>
      <c r="G4" s="474">
        <f>C4-SUM(Jan!D3:W3)</f>
        <v>32376.959999999963</v>
      </c>
      <c r="H4" s="475">
        <f>Jan!AE21</f>
        <v>21346.6</v>
      </c>
      <c r="J4" s="53">
        <f>B4</f>
        <v>46023</v>
      </c>
      <c r="K4" s="660">
        <f>Jan!W72</f>
        <v>11100</v>
      </c>
      <c r="L4" s="354">
        <f>Jan!H65</f>
        <v>14645.080000000002</v>
      </c>
      <c r="M4" s="355">
        <f>Jan!I65</f>
        <v>55015.000000000007</v>
      </c>
      <c r="N4" s="355">
        <f>Jan!J65</f>
        <v>152796</v>
      </c>
      <c r="O4" s="355">
        <f>Jan!K65</f>
        <v>67208.709999999992</v>
      </c>
      <c r="P4" s="355">
        <f>Jan!L65</f>
        <v>20985.75</v>
      </c>
      <c r="Q4" s="355">
        <f>Jan!M65</f>
        <v>30000.370000000003</v>
      </c>
      <c r="R4" s="355">
        <f>Jan!N65</f>
        <v>4000</v>
      </c>
      <c r="S4" s="356">
        <f>Jan!O65</f>
        <v>25572.500000000004</v>
      </c>
      <c r="T4" s="357">
        <f t="shared" ref="T4:T15" si="1">SUM(L4:S4)</f>
        <v>370223.41000000003</v>
      </c>
      <c r="U4" s="661">
        <f>Jan!W71</f>
        <v>702600.9</v>
      </c>
      <c r="V4" s="662">
        <f>K4+T4+U4</f>
        <v>1083924.31</v>
      </c>
      <c r="W4" s="357">
        <f t="shared" ref="W4:W15" si="2">C4-V4</f>
        <v>0</v>
      </c>
      <c r="X4" s="54" t="s">
        <v>49</v>
      </c>
      <c r="Y4" s="310">
        <f>Jan!P3</f>
        <v>206508</v>
      </c>
      <c r="Z4" s="310"/>
      <c r="AA4" s="310">
        <f>Jan!AE15+Feb!AE15</f>
        <v>7081</v>
      </c>
      <c r="AB4" s="310">
        <f>SUM(Y4:AA4)</f>
        <v>213589</v>
      </c>
      <c r="AC4" s="311">
        <f>(AB4-Y4)/Y4</f>
        <v>3.4289228504464718E-2</v>
      </c>
      <c r="AD4" s="312">
        <f>AA4/(Y4+Z4)</f>
        <v>3.4289228504464718E-2</v>
      </c>
    </row>
    <row r="5" spans="2:35">
      <c r="B5" s="627">
        <v>46054</v>
      </c>
      <c r="C5" s="628">
        <f>Feb!W61</f>
        <v>1098715.24</v>
      </c>
      <c r="D5" s="602">
        <f>N42</f>
        <v>11985</v>
      </c>
      <c r="E5" s="602">
        <f>O42</f>
        <v>-12830.68</v>
      </c>
      <c r="F5" s="629">
        <f t="shared" si="0"/>
        <v>-845.68000000000029</v>
      </c>
      <c r="G5" s="630">
        <f>C5-C4</f>
        <v>14790.929999999935</v>
      </c>
      <c r="H5" s="631">
        <f>Feb!AE21</f>
        <v>5861.96</v>
      </c>
      <c r="J5" s="55">
        <f t="shared" ref="J5:J15" si="3">B5</f>
        <v>46054</v>
      </c>
      <c r="K5" s="358">
        <f>Feb!W60</f>
        <v>11200</v>
      </c>
      <c r="L5" s="354">
        <f>Feb!H53</f>
        <v>14645.080000000002</v>
      </c>
      <c r="M5" s="355">
        <f>Feb!I53</f>
        <v>57040.000000000007</v>
      </c>
      <c r="N5" s="355">
        <f>Feb!J53</f>
        <v>153796</v>
      </c>
      <c r="O5" s="355">
        <f>Feb!K53</f>
        <v>69712.679999999993</v>
      </c>
      <c r="P5" s="355">
        <f>Feb!L53</f>
        <v>20985.75</v>
      </c>
      <c r="Q5" s="355">
        <f>Feb!M53</f>
        <v>32000.370000000003</v>
      </c>
      <c r="R5" s="355">
        <f>Feb!N53</f>
        <v>4000</v>
      </c>
      <c r="S5" s="356">
        <f>Feb!O53</f>
        <v>26572.500000000004</v>
      </c>
      <c r="T5" s="356">
        <f t="shared" si="1"/>
        <v>378752.38</v>
      </c>
      <c r="U5" s="359">
        <f>Feb!W59</f>
        <v>708762.86</v>
      </c>
      <c r="V5" s="360">
        <f t="shared" ref="V5:V15" si="4">K5+T5+U5</f>
        <v>1098715.24</v>
      </c>
      <c r="W5" s="361">
        <f t="shared" si="2"/>
        <v>0</v>
      </c>
      <c r="X5" s="54" t="s">
        <v>50</v>
      </c>
      <c r="Y5" s="310">
        <f>Jan!Q3</f>
        <v>127109</v>
      </c>
      <c r="Z5" s="310">
        <f>Jan!AE7+'Apr '!AE7</f>
        <v>5000</v>
      </c>
      <c r="AA5" s="310"/>
      <c r="AB5" s="310">
        <f t="shared" ref="AB5" si="5">SUM(Y5:AA5)</f>
        <v>132109</v>
      </c>
      <c r="AC5" s="311">
        <f t="shared" ref="AC5" si="6">(AB5-Y5)/Y5</f>
        <v>3.9336317648632275E-2</v>
      </c>
      <c r="AD5" s="312">
        <f t="shared" ref="AD5" si="7">AA5/(Y5+Z5)</f>
        <v>0</v>
      </c>
    </row>
    <row r="6" spans="2:35">
      <c r="B6" s="627">
        <v>46082</v>
      </c>
      <c r="C6" s="628">
        <f>Mar!W77</f>
        <v>1081075.1199999999</v>
      </c>
      <c r="D6" s="602">
        <f>Q42</f>
        <v>13555</v>
      </c>
      <c r="E6" s="602">
        <f>R42</f>
        <v>-17117.97</v>
      </c>
      <c r="F6" s="629">
        <f t="shared" si="0"/>
        <v>-3562.9700000000012</v>
      </c>
      <c r="G6" s="630">
        <f t="shared" ref="G6:G14" si="8">C6-C5</f>
        <v>-17640.120000000112</v>
      </c>
      <c r="H6" s="631">
        <f>Mar!AE21</f>
        <v>474.72</v>
      </c>
      <c r="J6" s="55">
        <f t="shared" si="3"/>
        <v>46082</v>
      </c>
      <c r="K6" s="358">
        <f>Mar!W76</f>
        <v>11300</v>
      </c>
      <c r="L6" s="354">
        <f>Mar!H69</f>
        <v>14845.080000000002</v>
      </c>
      <c r="M6" s="355">
        <f>Mar!I69</f>
        <v>47065.000000000007</v>
      </c>
      <c r="N6" s="355">
        <f>Mar!J69</f>
        <v>154796</v>
      </c>
      <c r="O6" s="355">
        <f>Mar!K69</f>
        <v>59712.679999999993</v>
      </c>
      <c r="P6" s="355">
        <f>Mar!L69</f>
        <v>21245.91</v>
      </c>
      <c r="Q6" s="355">
        <f>Mar!M69</f>
        <v>32000.370000000003</v>
      </c>
      <c r="R6" s="355">
        <f>Mar!N69</f>
        <v>4000</v>
      </c>
      <c r="S6" s="356">
        <f>Mar!O69</f>
        <v>26572.500000000004</v>
      </c>
      <c r="T6" s="356">
        <f t="shared" si="1"/>
        <v>360237.54</v>
      </c>
      <c r="U6" s="359">
        <f>Mar!W75</f>
        <v>709537.58</v>
      </c>
      <c r="V6" s="360">
        <f t="shared" si="4"/>
        <v>1081075.1199999999</v>
      </c>
      <c r="W6" s="361">
        <f t="shared" si="2"/>
        <v>0</v>
      </c>
      <c r="X6" s="54" t="s">
        <v>51</v>
      </c>
      <c r="Y6" s="310">
        <f>Jan!R3</f>
        <v>62955</v>
      </c>
      <c r="Z6" s="310">
        <f>Jan!AE9+Feb!AE8+Mar!AE8+'Apr '!AE8+'May '!AE8</f>
        <v>1500</v>
      </c>
      <c r="AA6" s="310">
        <f>Jan!AE18+'Apr '!AE17+'May '!AE17</f>
        <v>7439</v>
      </c>
      <c r="AB6" s="310">
        <f>SUM(Y6:AA6)</f>
        <v>71894</v>
      </c>
      <c r="AC6" s="311">
        <f>(AB6-Y6)/Y6</f>
        <v>0.14199031053927408</v>
      </c>
      <c r="AD6" s="312">
        <f>AA6/(Y6+Z6)</f>
        <v>0.11541385462725932</v>
      </c>
    </row>
    <row r="7" spans="2:35" ht="12" customHeight="1">
      <c r="B7" s="627">
        <v>46113</v>
      </c>
      <c r="C7" s="628">
        <f>'Apr '!W68</f>
        <v>1106484.02</v>
      </c>
      <c r="D7" s="602">
        <f>T42</f>
        <v>21825</v>
      </c>
      <c r="E7" s="602">
        <f>U42</f>
        <v>-25755.07</v>
      </c>
      <c r="F7" s="629">
        <f>D7+E7</f>
        <v>-3930.0699999999997</v>
      </c>
      <c r="G7" s="630">
        <f>C7-C6</f>
        <v>25408.90000000014</v>
      </c>
      <c r="H7" s="631">
        <f>'Apr '!AE20</f>
        <v>16551.900000000001</v>
      </c>
      <c r="J7" s="55">
        <f t="shared" si="3"/>
        <v>46113</v>
      </c>
      <c r="K7" s="358">
        <f>'Apr '!W67</f>
        <v>11400</v>
      </c>
      <c r="L7" s="354">
        <f>'Apr '!H60</f>
        <v>7939.0800000000017</v>
      </c>
      <c r="M7" s="355">
        <f>'Apr '!I60</f>
        <v>49090.000000000007</v>
      </c>
      <c r="N7" s="355">
        <f>'Apr '!J60</f>
        <v>152868</v>
      </c>
      <c r="O7" s="355">
        <f>'Apr '!K60</f>
        <v>60578.679999999993</v>
      </c>
      <c r="P7" s="355">
        <f>'Apr '!L60</f>
        <v>24245.91</v>
      </c>
      <c r="Q7" s="355">
        <f>'Apr '!M60</f>
        <v>32000.370000000003</v>
      </c>
      <c r="R7" s="355">
        <f>'Apr '!N60</f>
        <v>4000</v>
      </c>
      <c r="S7" s="356">
        <f>'Apr '!O60</f>
        <v>33572.5</v>
      </c>
      <c r="T7" s="356">
        <f t="shared" si="1"/>
        <v>364294.54</v>
      </c>
      <c r="U7" s="359">
        <f>'Apr '!W66</f>
        <v>730789.48</v>
      </c>
      <c r="V7" s="360">
        <f t="shared" si="4"/>
        <v>1106484.02</v>
      </c>
      <c r="W7" s="361">
        <f t="shared" si="2"/>
        <v>0</v>
      </c>
      <c r="X7" s="54" t="s">
        <v>52</v>
      </c>
      <c r="Y7" s="310">
        <f>Jan!U3</f>
        <v>27298</v>
      </c>
      <c r="Z7" s="310"/>
      <c r="AA7" s="310"/>
      <c r="AB7" s="310">
        <f>SUM(Y7:AA7)</f>
        <v>27298</v>
      </c>
      <c r="AC7" s="311">
        <f>(AB7-Y7)/Y7</f>
        <v>0</v>
      </c>
      <c r="AD7" s="312">
        <f>AA7/(Y7+Z7)</f>
        <v>0</v>
      </c>
    </row>
    <row r="8" spans="2:35">
      <c r="B8" s="627">
        <v>46143</v>
      </c>
      <c r="C8" s="628">
        <f>'May '!W70</f>
        <v>1128693.3700000001</v>
      </c>
      <c r="D8" s="602">
        <f>W42</f>
        <v>12855</v>
      </c>
      <c r="E8" s="602">
        <f>X42</f>
        <v>-13700.14</v>
      </c>
      <c r="F8" s="629">
        <f>D8+E8</f>
        <v>-845.13999999999942</v>
      </c>
      <c r="G8" s="630">
        <f>C8-C7</f>
        <v>22209.350000000093</v>
      </c>
      <c r="H8" s="631">
        <f>'May '!AE21</f>
        <v>14627.44</v>
      </c>
      <c r="J8" s="55">
        <f t="shared" si="3"/>
        <v>46143</v>
      </c>
      <c r="K8" s="358">
        <f>'May '!W69</f>
        <v>11500</v>
      </c>
      <c r="L8" s="354">
        <f>'May '!H62</f>
        <v>8939.0800000000017</v>
      </c>
      <c r="M8" s="355">
        <f>'May '!I62</f>
        <v>52071.910000000011</v>
      </c>
      <c r="N8" s="355">
        <f>'May '!J62</f>
        <v>153868</v>
      </c>
      <c r="O8" s="355">
        <f>'May '!K62</f>
        <v>60778.679999999993</v>
      </c>
      <c r="P8" s="355">
        <f>'May '!L62</f>
        <v>26245.91</v>
      </c>
      <c r="Q8" s="355">
        <f>'May '!M62</f>
        <v>32000.370000000003</v>
      </c>
      <c r="R8" s="355">
        <f>'May '!N62</f>
        <v>4000</v>
      </c>
      <c r="S8" s="356">
        <f>'May '!O62</f>
        <v>33572.5</v>
      </c>
      <c r="T8" s="356">
        <f t="shared" si="1"/>
        <v>371476.45</v>
      </c>
      <c r="U8" s="359">
        <f>'May '!W68</f>
        <v>745716.92</v>
      </c>
      <c r="V8" s="360">
        <f t="shared" si="4"/>
        <v>1128693.3700000001</v>
      </c>
      <c r="W8" s="361">
        <f t="shared" si="2"/>
        <v>0</v>
      </c>
      <c r="X8" s="54" t="s">
        <v>71</v>
      </c>
      <c r="Y8" s="310">
        <f>Jan!S3</f>
        <v>3879</v>
      </c>
      <c r="Z8" s="310">
        <f>Jan!AE8+'Apr '!AE9</f>
        <v>2600</v>
      </c>
      <c r="AA8" s="310">
        <f>Jan!AE17+'May '!AE18</f>
        <v>641</v>
      </c>
      <c r="AB8" s="310">
        <f>SUM(Y8:AA8)</f>
        <v>7120</v>
      </c>
      <c r="AC8" s="311">
        <f>(AB8-Y8)/Y8</f>
        <v>0.83552461974735759</v>
      </c>
      <c r="AD8" s="312">
        <f>AA8/(Y8+Z8)</f>
        <v>9.8935020836548856E-2</v>
      </c>
    </row>
    <row r="9" spans="2:35">
      <c r="B9" s="627">
        <v>46174</v>
      </c>
      <c r="C9" s="628">
        <f>'Jun '!W53</f>
        <v>1122652.75</v>
      </c>
      <c r="D9" s="602">
        <f>Z42</f>
        <v>12775</v>
      </c>
      <c r="E9" s="602">
        <f>AA42</f>
        <v>-6534.14</v>
      </c>
      <c r="F9" s="629">
        <f t="shared" si="0"/>
        <v>6240.86</v>
      </c>
      <c r="G9" s="630">
        <f t="shared" si="8"/>
        <v>-6040.6200000001118</v>
      </c>
      <c r="H9" s="631">
        <f>'Jun '!AE18</f>
        <v>0</v>
      </c>
      <c r="J9" s="55">
        <f t="shared" si="3"/>
        <v>46174</v>
      </c>
      <c r="K9" s="358">
        <f>'Jun '!W52</f>
        <v>11600</v>
      </c>
      <c r="L9" s="354">
        <f>'Jun '!H45</f>
        <v>8939.0800000000017</v>
      </c>
      <c r="M9" s="355">
        <f>'Jun '!I45</f>
        <v>44931.290000000008</v>
      </c>
      <c r="N9" s="355">
        <f>'Jun '!J45</f>
        <v>154868</v>
      </c>
      <c r="O9" s="355">
        <f>'Jun '!K45</f>
        <v>60778.679999999993</v>
      </c>
      <c r="P9" s="355">
        <f>'Jun '!L45</f>
        <v>26245.91</v>
      </c>
      <c r="Q9" s="355">
        <f>'Jun '!M45</f>
        <v>32000.370000000003</v>
      </c>
      <c r="R9" s="355">
        <f>'Jun '!N45</f>
        <v>4000</v>
      </c>
      <c r="S9" s="356">
        <f>'Jun '!O45</f>
        <v>33572.5</v>
      </c>
      <c r="T9" s="356">
        <f t="shared" si="1"/>
        <v>365335.82999999996</v>
      </c>
      <c r="U9" s="359">
        <f>'Jun '!W51</f>
        <v>745716.92</v>
      </c>
      <c r="V9" s="360">
        <f t="shared" si="4"/>
        <v>1122652.75</v>
      </c>
      <c r="W9" s="361">
        <f t="shared" si="2"/>
        <v>0</v>
      </c>
      <c r="X9" s="54" t="s">
        <v>54</v>
      </c>
      <c r="Y9" s="310">
        <f>Jan!V3+Jan!T3</f>
        <v>247061</v>
      </c>
      <c r="Z9" s="310"/>
      <c r="AA9" s="310">
        <f>Jan!AE19+Feb!AE19+'Apr '!AE18+'May '!AE19</f>
        <v>42617</v>
      </c>
      <c r="AB9" s="310">
        <f>SUM(Y9:AA9)</f>
        <v>289678</v>
      </c>
      <c r="AC9" s="311">
        <f>(AB9-Y9)/Y9</f>
        <v>0.17249586134598338</v>
      </c>
      <c r="AD9" s="312">
        <f>AA9/(Y9+Z9)</f>
        <v>0.17249586134598338</v>
      </c>
    </row>
    <row r="10" spans="2:35">
      <c r="B10" s="627">
        <v>46204</v>
      </c>
      <c r="C10" s="628">
        <f>Jul!W52</f>
        <v>0</v>
      </c>
      <c r="D10" s="602">
        <f>AC42</f>
        <v>14675</v>
      </c>
      <c r="E10" s="602">
        <f>AD42</f>
        <v>0</v>
      </c>
      <c r="F10" s="629">
        <f t="shared" si="0"/>
        <v>14675</v>
      </c>
      <c r="G10" s="630">
        <f t="shared" si="8"/>
        <v>-1122652.75</v>
      </c>
      <c r="H10" s="631">
        <f>Jul!AE20</f>
        <v>0</v>
      </c>
      <c r="J10" s="55">
        <f t="shared" si="3"/>
        <v>46204</v>
      </c>
      <c r="K10" s="358">
        <f>Jul!W51</f>
        <v>0</v>
      </c>
      <c r="L10" s="354">
        <f>Jul!H44</f>
        <v>0</v>
      </c>
      <c r="M10" s="355">
        <f>Jul!I44</f>
        <v>0</v>
      </c>
      <c r="N10" s="355">
        <f>Jul!J44</f>
        <v>0</v>
      </c>
      <c r="O10" s="355">
        <f>Jul!K44</f>
        <v>0</v>
      </c>
      <c r="P10" s="355">
        <f>Jul!L44</f>
        <v>0</v>
      </c>
      <c r="Q10" s="355">
        <f>Jul!M44</f>
        <v>0</v>
      </c>
      <c r="R10" s="355">
        <f>Jul!N44</f>
        <v>0</v>
      </c>
      <c r="S10" s="356">
        <f>Jul!O44</f>
        <v>0</v>
      </c>
      <c r="T10" s="356">
        <f t="shared" si="1"/>
        <v>0</v>
      </c>
      <c r="U10" s="359">
        <f>Jul!W50</f>
        <v>0</v>
      </c>
      <c r="V10" s="360">
        <f t="shared" si="4"/>
        <v>0</v>
      </c>
      <c r="W10" s="361">
        <f t="shared" si="2"/>
        <v>0</v>
      </c>
      <c r="X10" s="123" t="s">
        <v>55</v>
      </c>
      <c r="Y10" s="313">
        <f>Jan!W3</f>
        <v>2944.3</v>
      </c>
      <c r="Z10" s="314"/>
      <c r="AA10" s="314">
        <f>Jan!AE20+Feb!AE20+Mar!AE20+'Apr '!AE19+'May '!AE20</f>
        <v>1084.6199999999999</v>
      </c>
      <c r="AB10" s="314">
        <f>SUM(Y10:AA10)</f>
        <v>4028.92</v>
      </c>
      <c r="AC10" s="315">
        <f>(AB10-Y10)/Y10</f>
        <v>0.36837958088509998</v>
      </c>
      <c r="AD10" s="316">
        <f>AA10/(Y10+Z10)</f>
        <v>0.36837958088509998</v>
      </c>
    </row>
    <row r="11" spans="2:35">
      <c r="B11" s="627">
        <v>46235</v>
      </c>
      <c r="C11" s="628">
        <f>Aug!W45</f>
        <v>0</v>
      </c>
      <c r="D11" s="602">
        <f>AF42</f>
        <v>12024.2</v>
      </c>
      <c r="E11" s="602">
        <f>AG42</f>
        <v>0</v>
      </c>
      <c r="F11" s="629">
        <f t="shared" si="0"/>
        <v>12024.2</v>
      </c>
      <c r="G11" s="630">
        <f t="shared" si="8"/>
        <v>0</v>
      </c>
      <c r="H11" s="631">
        <f>Aug!AE22</f>
        <v>0</v>
      </c>
      <c r="J11" s="55">
        <f t="shared" si="3"/>
        <v>46235</v>
      </c>
      <c r="K11" s="358">
        <f>Aug!W44</f>
        <v>0</v>
      </c>
      <c r="L11" s="354">
        <f>Aug!H37</f>
        <v>0</v>
      </c>
      <c r="M11" s="355">
        <f>Aug!I37</f>
        <v>0</v>
      </c>
      <c r="N11" s="355">
        <f>Aug!J37</f>
        <v>0</v>
      </c>
      <c r="O11" s="355">
        <f>Aug!K37</f>
        <v>0</v>
      </c>
      <c r="P11" s="355">
        <f>Aug!L37</f>
        <v>0</v>
      </c>
      <c r="Q11" s="355">
        <f>Aug!M37</f>
        <v>0</v>
      </c>
      <c r="R11" s="355">
        <f>Aug!N37</f>
        <v>0</v>
      </c>
      <c r="S11" s="356">
        <f>Aug!O37</f>
        <v>0</v>
      </c>
      <c r="T11" s="356">
        <f t="shared" si="1"/>
        <v>0</v>
      </c>
      <c r="U11" s="359">
        <f>Aug!W43</f>
        <v>0</v>
      </c>
      <c r="V11" s="360">
        <f t="shared" si="4"/>
        <v>0</v>
      </c>
      <c r="W11" s="361">
        <f t="shared" si="2"/>
        <v>0</v>
      </c>
      <c r="X11" s="122" t="s">
        <v>56</v>
      </c>
      <c r="Y11" s="317">
        <f>SUM(Y4:Y10)</f>
        <v>677754.3</v>
      </c>
      <c r="Z11" s="317">
        <f>SUM(Z4:Z10)</f>
        <v>9100</v>
      </c>
      <c r="AA11" s="317">
        <f>SUM(AA4:AA10)</f>
        <v>58862.62</v>
      </c>
      <c r="AB11" s="317">
        <f>SUM(AB4:AB10)</f>
        <v>745716.92</v>
      </c>
      <c r="AC11" s="318">
        <f>(AB11-Y11)/Y11</f>
        <v>0.10027619153430674</v>
      </c>
      <c r="AD11" s="319">
        <f>AA11/(Y11+Z11)</f>
        <v>8.5698844718596068E-2</v>
      </c>
    </row>
    <row r="12" spans="2:35">
      <c r="B12" s="627">
        <v>46266</v>
      </c>
      <c r="C12" s="628">
        <f>Sep!W55</f>
        <v>0</v>
      </c>
      <c r="D12" s="602">
        <f>AI42</f>
        <v>11881.2</v>
      </c>
      <c r="E12" s="602">
        <f>AJ42</f>
        <v>0</v>
      </c>
      <c r="F12" s="629">
        <f t="shared" si="0"/>
        <v>11881.2</v>
      </c>
      <c r="G12" s="630">
        <f t="shared" si="8"/>
        <v>0</v>
      </c>
      <c r="H12" s="631">
        <f>Sep!AE22</f>
        <v>0</v>
      </c>
      <c r="J12" s="55">
        <f t="shared" si="3"/>
        <v>46266</v>
      </c>
      <c r="K12" s="358">
        <f>Sep!W54</f>
        <v>0</v>
      </c>
      <c r="L12" s="354">
        <f>Sep!H44</f>
        <v>0</v>
      </c>
      <c r="M12" s="355">
        <f>Sep!I44</f>
        <v>0</v>
      </c>
      <c r="N12" s="355">
        <f>Sep!J44</f>
        <v>0</v>
      </c>
      <c r="O12" s="355">
        <f>Sep!K44</f>
        <v>0</v>
      </c>
      <c r="P12" s="355">
        <f>Sep!L44</f>
        <v>0</v>
      </c>
      <c r="Q12" s="355">
        <f>Sep!M44</f>
        <v>0</v>
      </c>
      <c r="R12" s="355">
        <f>Sep!N44</f>
        <v>0</v>
      </c>
      <c r="S12" s="356">
        <f>Sep!O44</f>
        <v>0</v>
      </c>
      <c r="T12" s="356">
        <f t="shared" si="1"/>
        <v>0</v>
      </c>
      <c r="U12" s="359">
        <f>Sep!W53</f>
        <v>0</v>
      </c>
      <c r="V12" s="360">
        <f t="shared" si="4"/>
        <v>0</v>
      </c>
      <c r="W12" s="361">
        <f t="shared" si="2"/>
        <v>0</v>
      </c>
      <c r="AB12" s="34">
        <f>AB11-U9</f>
        <v>0</v>
      </c>
    </row>
    <row r="13" spans="2:35">
      <c r="B13" s="627">
        <v>46296</v>
      </c>
      <c r="C13" s="628">
        <f>Oct!W59</f>
        <v>0</v>
      </c>
      <c r="D13" s="602">
        <f>AL42</f>
        <v>11381.2</v>
      </c>
      <c r="E13" s="602">
        <f>AM42</f>
        <v>0</v>
      </c>
      <c r="F13" s="629">
        <f t="shared" si="0"/>
        <v>11381.2</v>
      </c>
      <c r="G13" s="630">
        <f t="shared" si="8"/>
        <v>0</v>
      </c>
      <c r="H13" s="631">
        <f>Oct!AE22</f>
        <v>0</v>
      </c>
      <c r="J13" s="55">
        <f t="shared" si="3"/>
        <v>46296</v>
      </c>
      <c r="K13" s="358">
        <f>Oct!W58</f>
        <v>0</v>
      </c>
      <c r="L13" s="354">
        <f>Oct!H48</f>
        <v>0</v>
      </c>
      <c r="M13" s="355">
        <f>Oct!I48</f>
        <v>0</v>
      </c>
      <c r="N13" s="355">
        <f>Oct!J48</f>
        <v>0</v>
      </c>
      <c r="O13" s="355">
        <f>Oct!K48</f>
        <v>0</v>
      </c>
      <c r="P13" s="355">
        <f>Oct!L48</f>
        <v>0</v>
      </c>
      <c r="Q13" s="355">
        <f>Oct!M48</f>
        <v>0</v>
      </c>
      <c r="R13" s="355">
        <f>Oct!N48</f>
        <v>0</v>
      </c>
      <c r="S13" s="356">
        <f>Oct!O48</f>
        <v>0</v>
      </c>
      <c r="T13" s="356">
        <f t="shared" si="1"/>
        <v>0</v>
      </c>
      <c r="U13" s="359">
        <f>Oct!W57</f>
        <v>0</v>
      </c>
      <c r="V13" s="360">
        <f t="shared" si="4"/>
        <v>0</v>
      </c>
      <c r="W13" s="361">
        <f>C13-V13</f>
        <v>0</v>
      </c>
    </row>
    <row r="14" spans="2:35">
      <c r="B14" s="627">
        <v>46327</v>
      </c>
      <c r="C14" s="628">
        <f>Nov!W47</f>
        <v>0</v>
      </c>
      <c r="D14" s="602">
        <f>AO42</f>
        <v>12031.2</v>
      </c>
      <c r="E14" s="602">
        <f>AP42</f>
        <v>0</v>
      </c>
      <c r="F14" s="629">
        <f t="shared" si="0"/>
        <v>12031.2</v>
      </c>
      <c r="G14" s="630">
        <f t="shared" si="8"/>
        <v>0</v>
      </c>
      <c r="H14" s="631">
        <f>Nov!AE22</f>
        <v>0</v>
      </c>
      <c r="J14" s="55">
        <f t="shared" si="3"/>
        <v>46327</v>
      </c>
      <c r="K14" s="358">
        <f>Nov!W46</f>
        <v>0</v>
      </c>
      <c r="L14" s="354">
        <f>Nov!H36</f>
        <v>0</v>
      </c>
      <c r="M14" s="355">
        <f>Nov!I36</f>
        <v>0</v>
      </c>
      <c r="N14" s="355">
        <f>Nov!J36</f>
        <v>0</v>
      </c>
      <c r="O14" s="355">
        <f>Nov!K36</f>
        <v>0</v>
      </c>
      <c r="P14" s="355">
        <f>Nov!L36</f>
        <v>0</v>
      </c>
      <c r="Q14" s="355">
        <f>Nov!M36</f>
        <v>0</v>
      </c>
      <c r="R14" s="355">
        <f>Nov!N36</f>
        <v>0</v>
      </c>
      <c r="S14" s="356">
        <f>Nov!O36</f>
        <v>0</v>
      </c>
      <c r="T14" s="356">
        <f t="shared" si="1"/>
        <v>0</v>
      </c>
      <c r="U14" s="359">
        <f>Nov!W45</f>
        <v>0</v>
      </c>
      <c r="V14" s="360">
        <f t="shared" si="4"/>
        <v>0</v>
      </c>
      <c r="W14" s="361">
        <f t="shared" si="2"/>
        <v>0</v>
      </c>
    </row>
    <row r="15" spans="2:35" s="31" customFormat="1">
      <c r="B15" s="632">
        <v>46357</v>
      </c>
      <c r="C15" s="633">
        <f>Dec!W50</f>
        <v>0</v>
      </c>
      <c r="D15" s="624">
        <f>AR42</f>
        <v>12631.2</v>
      </c>
      <c r="E15" s="624">
        <f>AS42</f>
        <v>0</v>
      </c>
      <c r="F15" s="634">
        <f t="shared" si="0"/>
        <v>12631.2</v>
      </c>
      <c r="G15" s="635">
        <f>C15-C14</f>
        <v>0</v>
      </c>
      <c r="H15" s="636">
        <f>Dec!AE18</f>
        <v>0</v>
      </c>
      <c r="J15" s="56">
        <f t="shared" si="3"/>
        <v>46357</v>
      </c>
      <c r="K15" s="362">
        <f>Dec!W49</f>
        <v>0</v>
      </c>
      <c r="L15" s="363">
        <f>Dec!H39</f>
        <v>0</v>
      </c>
      <c r="M15" s="364">
        <f>Dec!I39</f>
        <v>0</v>
      </c>
      <c r="N15" s="364">
        <f>Dec!J39</f>
        <v>0</v>
      </c>
      <c r="O15" s="364">
        <f>Dec!K39</f>
        <v>0</v>
      </c>
      <c r="P15" s="364">
        <f>Dec!L39</f>
        <v>0</v>
      </c>
      <c r="Q15" s="364">
        <f>Dec!M39</f>
        <v>0</v>
      </c>
      <c r="R15" s="364">
        <f>Dec!N39</f>
        <v>0</v>
      </c>
      <c r="S15" s="365">
        <f>Dec!O39</f>
        <v>0</v>
      </c>
      <c r="T15" s="365">
        <f t="shared" si="1"/>
        <v>0</v>
      </c>
      <c r="U15" s="366">
        <f>Dec!W48</f>
        <v>0</v>
      </c>
      <c r="V15" s="367">
        <f t="shared" si="4"/>
        <v>0</v>
      </c>
      <c r="W15" s="368">
        <f t="shared" si="2"/>
        <v>0</v>
      </c>
      <c r="Z15" s="2"/>
      <c r="AI15" s="2"/>
    </row>
    <row r="16" spans="2:35">
      <c r="C16" s="349" t="s">
        <v>56</v>
      </c>
      <c r="D16" s="347">
        <f>SUM(D4:D15)</f>
        <v>160944.00000000003</v>
      </c>
      <c r="E16" s="347">
        <f>SUM(E4:E15)</f>
        <v>-89345</v>
      </c>
      <c r="F16" s="347">
        <f>SUM(F4:F15)</f>
        <v>71599</v>
      </c>
      <c r="G16" s="350">
        <f>SUM(G4:G15)</f>
        <v>-1051547.3500000001</v>
      </c>
      <c r="H16" s="350">
        <f>SUM(H4:H15)</f>
        <v>58862.62</v>
      </c>
      <c r="T16" s="34"/>
    </row>
    <row r="17" spans="3:52">
      <c r="C17" s="351"/>
      <c r="D17" s="351"/>
      <c r="E17" s="351"/>
      <c r="F17" s="348" t="s">
        <v>72</v>
      </c>
      <c r="G17" s="352">
        <f>AVERAGE(G4:G15)</f>
        <v>-87628.945833333346</v>
      </c>
      <c r="H17" s="353">
        <f>AVERAGE(H4:H15)</f>
        <v>4905.2183333333332</v>
      </c>
    </row>
    <row r="18" spans="3:52">
      <c r="C18" s="34"/>
      <c r="I18" s="31"/>
    </row>
    <row r="19" spans="3:52" ht="13.5" thickBot="1">
      <c r="E19" s="705">
        <v>2026</v>
      </c>
      <c r="F19" s="706"/>
      <c r="G19" s="707"/>
      <c r="J19" s="58">
        <v>2026</v>
      </c>
      <c r="K19" s="702">
        <f>B4</f>
        <v>46023</v>
      </c>
      <c r="L19" s="703"/>
      <c r="M19" s="704"/>
      <c r="N19" s="702">
        <f>J5</f>
        <v>46054</v>
      </c>
      <c r="O19" s="703"/>
      <c r="P19" s="704"/>
      <c r="Q19" s="702">
        <f>J6</f>
        <v>46082</v>
      </c>
      <c r="R19" s="708"/>
      <c r="S19" s="709"/>
      <c r="T19" s="702">
        <f>J7</f>
        <v>46113</v>
      </c>
      <c r="U19" s="703"/>
      <c r="V19" s="704"/>
      <c r="W19" s="702">
        <f>J8</f>
        <v>46143</v>
      </c>
      <c r="X19" s="708"/>
      <c r="Y19" s="709"/>
      <c r="Z19" s="702">
        <f>J9</f>
        <v>46174</v>
      </c>
      <c r="AA19" s="703"/>
      <c r="AB19" s="704"/>
      <c r="AC19" s="702">
        <f>J10</f>
        <v>46204</v>
      </c>
      <c r="AD19" s="708"/>
      <c r="AE19" s="709"/>
      <c r="AF19" s="702">
        <f>J11</f>
        <v>46235</v>
      </c>
      <c r="AG19" s="703"/>
      <c r="AH19" s="704"/>
      <c r="AI19" s="702">
        <f>J12</f>
        <v>46266</v>
      </c>
      <c r="AJ19" s="703"/>
      <c r="AK19" s="704"/>
      <c r="AL19" s="702">
        <f>J13</f>
        <v>46296</v>
      </c>
      <c r="AM19" s="703"/>
      <c r="AN19" s="704"/>
      <c r="AO19" s="702">
        <f>J14</f>
        <v>46327</v>
      </c>
      <c r="AP19" s="703"/>
      <c r="AQ19" s="704"/>
      <c r="AR19" s="702">
        <f>J15</f>
        <v>46357</v>
      </c>
      <c r="AS19" s="703"/>
      <c r="AT19" s="704"/>
    </row>
    <row r="20" spans="3:52">
      <c r="D20" s="106" t="s">
        <v>7</v>
      </c>
      <c r="E20" s="258" t="s">
        <v>60</v>
      </c>
      <c r="F20" s="259" t="s">
        <v>61</v>
      </c>
      <c r="G20" s="260" t="s">
        <v>62</v>
      </c>
      <c r="H20" s="63" t="s">
        <v>73</v>
      </c>
      <c r="J20" s="106" t="s">
        <v>7</v>
      </c>
      <c r="K20" s="60" t="s">
        <v>60</v>
      </c>
      <c r="L20" s="61" t="s">
        <v>61</v>
      </c>
      <c r="M20" s="62" t="s">
        <v>62</v>
      </c>
      <c r="N20" s="60" t="s">
        <v>60</v>
      </c>
      <c r="O20" s="61" t="s">
        <v>61</v>
      </c>
      <c r="P20" s="61" t="s">
        <v>62</v>
      </c>
      <c r="Q20" s="60" t="s">
        <v>60</v>
      </c>
      <c r="R20" s="61" t="s">
        <v>61</v>
      </c>
      <c r="S20" s="62" t="s">
        <v>62</v>
      </c>
      <c r="T20" s="60" t="s">
        <v>60</v>
      </c>
      <c r="U20" s="61" t="s">
        <v>61</v>
      </c>
      <c r="V20" s="62" t="s">
        <v>62</v>
      </c>
      <c r="W20" s="60" t="s">
        <v>60</v>
      </c>
      <c r="X20" s="61" t="s">
        <v>61</v>
      </c>
      <c r="Y20" s="62" t="s">
        <v>62</v>
      </c>
      <c r="Z20" s="60" t="s">
        <v>60</v>
      </c>
      <c r="AA20" s="61" t="s">
        <v>61</v>
      </c>
      <c r="AB20" s="62" t="s">
        <v>62</v>
      </c>
      <c r="AC20" s="60" t="s">
        <v>60</v>
      </c>
      <c r="AD20" s="61" t="s">
        <v>61</v>
      </c>
      <c r="AE20" s="62" t="s">
        <v>62</v>
      </c>
      <c r="AF20" s="60" t="s">
        <v>60</v>
      </c>
      <c r="AG20" s="61" t="s">
        <v>61</v>
      </c>
      <c r="AH20" s="62" t="s">
        <v>62</v>
      </c>
      <c r="AI20" s="60" t="s">
        <v>60</v>
      </c>
      <c r="AJ20" s="61" t="s">
        <v>61</v>
      </c>
      <c r="AK20" s="62" t="s">
        <v>62</v>
      </c>
      <c r="AL20" s="60" t="s">
        <v>60</v>
      </c>
      <c r="AM20" s="61" t="s">
        <v>61</v>
      </c>
      <c r="AN20" s="62" t="s">
        <v>62</v>
      </c>
      <c r="AO20" s="60" t="s">
        <v>60</v>
      </c>
      <c r="AP20" s="61" t="s">
        <v>61</v>
      </c>
      <c r="AQ20" s="62" t="s">
        <v>62</v>
      </c>
      <c r="AR20" s="60" t="s">
        <v>60</v>
      </c>
      <c r="AS20" s="61" t="s">
        <v>61</v>
      </c>
      <c r="AT20" s="62" t="s">
        <v>62</v>
      </c>
    </row>
    <row r="21" spans="3:52">
      <c r="D21" s="79" t="s">
        <v>8</v>
      </c>
      <c r="E21" s="267">
        <f t="shared" ref="E21:E41" si="9">K21+N21+Q21+T21+W21+Z21+AC21+AF21+AI21+AL21+AO21+AR21</f>
        <v>4460</v>
      </c>
      <c r="F21" s="65">
        <f t="shared" ref="F21:F41" si="10">L21+O21+R21+U21+X21+AA21+AD21+AG21+AJ21+AM21+AP21+AS21</f>
        <v>-1782.99</v>
      </c>
      <c r="G21" s="65">
        <f>E21+F21</f>
        <v>2677.01</v>
      </c>
      <c r="H21" s="291">
        <f>ABS(F21)/E21</f>
        <v>0.39977354260089687</v>
      </c>
      <c r="J21" s="64" t="s">
        <v>8</v>
      </c>
      <c r="K21" s="65">
        <v>350</v>
      </c>
      <c r="L21" s="65">
        <f>Jan!AA4</f>
        <v>-326</v>
      </c>
      <c r="M21" s="77">
        <f>K21+L21</f>
        <v>24</v>
      </c>
      <c r="N21" s="65">
        <v>480</v>
      </c>
      <c r="O21" s="65">
        <f>Feb!AA4</f>
        <v>-271</v>
      </c>
      <c r="P21" s="77">
        <f>N21+O21</f>
        <v>209</v>
      </c>
      <c r="Q21" s="65">
        <v>480</v>
      </c>
      <c r="R21" s="65">
        <f>Mar!AA4</f>
        <v>-452</v>
      </c>
      <c r="S21" s="77">
        <f t="shared" ref="S21:S39" si="11">Q21+R21</f>
        <v>28</v>
      </c>
      <c r="T21" s="65">
        <v>350</v>
      </c>
      <c r="U21" s="65">
        <f>'Apr '!AA4</f>
        <v>-277</v>
      </c>
      <c r="V21" s="77">
        <f>T21+U21</f>
        <v>73</v>
      </c>
      <c r="W21" s="65">
        <v>350</v>
      </c>
      <c r="X21" s="65">
        <f>'May '!AA4</f>
        <v>-381.99</v>
      </c>
      <c r="Y21" s="77">
        <f t="shared" ref="Y21:Y41" si="12">W21+X21</f>
        <v>-31.990000000000009</v>
      </c>
      <c r="Z21" s="65">
        <v>350</v>
      </c>
      <c r="AA21" s="65">
        <f>'Jun '!AA4</f>
        <v>-75</v>
      </c>
      <c r="AB21" s="65">
        <f>Z21+AA21</f>
        <v>275</v>
      </c>
      <c r="AC21" s="65">
        <v>350</v>
      </c>
      <c r="AD21" s="65">
        <f>Jul!AA4</f>
        <v>0</v>
      </c>
      <c r="AE21" s="77">
        <f t="shared" ref="AE21:AE41" si="13">AC21+AD21</f>
        <v>350</v>
      </c>
      <c r="AF21" s="65">
        <v>350</v>
      </c>
      <c r="AG21" s="65">
        <f>Aug!AA4</f>
        <v>0</v>
      </c>
      <c r="AH21" s="77">
        <f>AF21+AG21</f>
        <v>350</v>
      </c>
      <c r="AI21" s="65">
        <v>350</v>
      </c>
      <c r="AJ21" s="65">
        <f>Sep!AA4</f>
        <v>0</v>
      </c>
      <c r="AK21" s="77">
        <f>AI21+AJ21</f>
        <v>350</v>
      </c>
      <c r="AL21" s="65">
        <v>350</v>
      </c>
      <c r="AM21" s="65">
        <f>Oct!AA4</f>
        <v>0</v>
      </c>
      <c r="AN21" s="77">
        <f>AL21+AM21</f>
        <v>350</v>
      </c>
      <c r="AO21" s="65">
        <v>350</v>
      </c>
      <c r="AP21" s="65">
        <f>Nov!AA4</f>
        <v>0</v>
      </c>
      <c r="AQ21" s="77">
        <f>AO21+AP21</f>
        <v>350</v>
      </c>
      <c r="AR21" s="65">
        <v>350</v>
      </c>
      <c r="AS21" s="65">
        <f>Dec!AA5</f>
        <v>0</v>
      </c>
      <c r="AT21" s="77">
        <f>AR21+AS21</f>
        <v>350</v>
      </c>
    </row>
    <row r="22" spans="3:52">
      <c r="D22" s="18" t="s">
        <v>9</v>
      </c>
      <c r="E22" s="225">
        <f t="shared" si="9"/>
        <v>4020</v>
      </c>
      <c r="F22" s="68">
        <f t="shared" si="10"/>
        <v>-1726.67</v>
      </c>
      <c r="G22" s="68">
        <f t="shared" ref="G22:G31" si="14">E22+F22</f>
        <v>2293.33</v>
      </c>
      <c r="H22" s="292">
        <f t="shared" ref="H22:H41" si="15">ABS(F22)/E22</f>
        <v>0.42951990049751243</v>
      </c>
      <c r="J22" s="67" t="s">
        <v>9</v>
      </c>
      <c r="K22" s="225">
        <v>335</v>
      </c>
      <c r="L22" s="68">
        <f>Jan!AA5</f>
        <v>-342</v>
      </c>
      <c r="M22" s="17">
        <f t="shared" ref="M22:M39" si="16">K22+L22</f>
        <v>-7</v>
      </c>
      <c r="N22" s="225">
        <v>335</v>
      </c>
      <c r="O22" s="68">
        <f>Feb!AA5</f>
        <v>-342</v>
      </c>
      <c r="P22" s="17">
        <f t="shared" ref="P22:P31" si="17">N22+O22</f>
        <v>-7</v>
      </c>
      <c r="Q22" s="225">
        <v>335</v>
      </c>
      <c r="R22" s="68">
        <f>Mar!AA5</f>
        <v>-342</v>
      </c>
      <c r="S22" s="17">
        <f t="shared" si="11"/>
        <v>-7</v>
      </c>
      <c r="T22" s="225">
        <v>335</v>
      </c>
      <c r="U22" s="68">
        <f>'Apr '!AA5</f>
        <v>-342</v>
      </c>
      <c r="V22" s="17">
        <f t="shared" ref="V22:V39" si="18">T22+U22</f>
        <v>-7</v>
      </c>
      <c r="W22" s="225">
        <v>335</v>
      </c>
      <c r="X22" s="68">
        <f>'May '!AA5</f>
        <v>-358.67</v>
      </c>
      <c r="Y22" s="17">
        <f t="shared" si="12"/>
        <v>-23.670000000000016</v>
      </c>
      <c r="Z22" s="225">
        <v>335</v>
      </c>
      <c r="AA22" s="68">
        <f>'Jun '!AA5</f>
        <v>0</v>
      </c>
      <c r="AB22" s="68">
        <f t="shared" ref="AB22:AB36" si="19">Z22+AA22</f>
        <v>335</v>
      </c>
      <c r="AC22" s="225">
        <v>335</v>
      </c>
      <c r="AD22" s="68">
        <f>Jul!AA5</f>
        <v>0</v>
      </c>
      <c r="AE22" s="17">
        <f t="shared" si="13"/>
        <v>335</v>
      </c>
      <c r="AF22" s="225">
        <v>335</v>
      </c>
      <c r="AG22" s="68">
        <f>Aug!AA5</f>
        <v>0</v>
      </c>
      <c r="AH22" s="17">
        <f t="shared" ref="AH22:AH36" si="20">AF22+AG22</f>
        <v>335</v>
      </c>
      <c r="AI22" s="225">
        <v>335</v>
      </c>
      <c r="AJ22" s="68">
        <f>Sep!AA5</f>
        <v>0</v>
      </c>
      <c r="AK22" s="17">
        <f t="shared" ref="AK22:AK36" si="21">AI22+AJ22</f>
        <v>335</v>
      </c>
      <c r="AL22" s="225">
        <v>335</v>
      </c>
      <c r="AM22" s="68">
        <f>Oct!AA5</f>
        <v>0</v>
      </c>
      <c r="AN22" s="17">
        <f t="shared" ref="AN22:AN36" si="22">AL22+AM22</f>
        <v>335</v>
      </c>
      <c r="AO22" s="225">
        <v>335</v>
      </c>
      <c r="AP22" s="68">
        <f>Nov!AA5</f>
        <v>0</v>
      </c>
      <c r="AQ22" s="17">
        <f t="shared" ref="AQ22:AQ36" si="23">AO22+AP22</f>
        <v>335</v>
      </c>
      <c r="AR22" s="68">
        <v>335</v>
      </c>
      <c r="AS22" s="68">
        <f>Dec!AA6</f>
        <v>0</v>
      </c>
      <c r="AT22" s="17">
        <f t="shared" ref="AT22:AT36" si="24">AR22+AS22</f>
        <v>335</v>
      </c>
      <c r="AX22" s="25"/>
      <c r="AY22" s="34"/>
    </row>
    <row r="23" spans="3:52">
      <c r="D23" s="18" t="s">
        <v>10</v>
      </c>
      <c r="E23" s="225">
        <f t="shared" si="9"/>
        <v>160</v>
      </c>
      <c r="F23" s="68">
        <f t="shared" si="10"/>
        <v>0</v>
      </c>
      <c r="G23" s="68">
        <f t="shared" si="14"/>
        <v>160</v>
      </c>
      <c r="H23" s="292">
        <f t="shared" si="15"/>
        <v>0</v>
      </c>
      <c r="J23" s="67" t="s">
        <v>10</v>
      </c>
      <c r="K23" s="225">
        <v>20</v>
      </c>
      <c r="L23" s="68">
        <f>Jan!AA6</f>
        <v>0</v>
      </c>
      <c r="M23" s="17">
        <f t="shared" si="16"/>
        <v>20</v>
      </c>
      <c r="N23" s="225">
        <v>20</v>
      </c>
      <c r="O23" s="68">
        <f>Feb!AA6</f>
        <v>0</v>
      </c>
      <c r="P23" s="17">
        <f t="shared" si="17"/>
        <v>20</v>
      </c>
      <c r="Q23" s="225">
        <v>20</v>
      </c>
      <c r="R23" s="68">
        <f>Mar!AA6</f>
        <v>0</v>
      </c>
      <c r="S23" s="17">
        <f t="shared" si="11"/>
        <v>20</v>
      </c>
      <c r="T23" s="225">
        <v>20</v>
      </c>
      <c r="U23" s="68">
        <f>'Apr '!AA6</f>
        <v>0</v>
      </c>
      <c r="V23" s="17">
        <f t="shared" si="18"/>
        <v>20</v>
      </c>
      <c r="W23" s="225">
        <v>20</v>
      </c>
      <c r="X23" s="68">
        <f>'May '!AA6</f>
        <v>0</v>
      </c>
      <c r="Y23" s="17">
        <f t="shared" si="12"/>
        <v>20</v>
      </c>
      <c r="Z23" s="225">
        <v>20</v>
      </c>
      <c r="AA23" s="68">
        <f>'Jun '!AA6</f>
        <v>0</v>
      </c>
      <c r="AB23" s="68">
        <f t="shared" si="19"/>
        <v>20</v>
      </c>
      <c r="AC23" s="225">
        <v>20</v>
      </c>
      <c r="AD23" s="68">
        <f>Jul!AA6</f>
        <v>0</v>
      </c>
      <c r="AE23" s="17">
        <f t="shared" si="13"/>
        <v>20</v>
      </c>
      <c r="AF23" s="225">
        <v>20</v>
      </c>
      <c r="AG23" s="68">
        <f>Aug!AA6</f>
        <v>0</v>
      </c>
      <c r="AH23" s="17">
        <f t="shared" si="20"/>
        <v>20</v>
      </c>
      <c r="AI23" s="225">
        <v>0</v>
      </c>
      <c r="AJ23" s="68">
        <f>Sep!AA6</f>
        <v>0</v>
      </c>
      <c r="AK23" s="17">
        <f t="shared" si="21"/>
        <v>0</v>
      </c>
      <c r="AL23" s="225">
        <v>0</v>
      </c>
      <c r="AM23" s="68">
        <f>Oct!AA6</f>
        <v>0</v>
      </c>
      <c r="AN23" s="17">
        <f t="shared" si="22"/>
        <v>0</v>
      </c>
      <c r="AO23" s="225">
        <v>0</v>
      </c>
      <c r="AP23" s="68">
        <f>Nov!AA6</f>
        <v>0</v>
      </c>
      <c r="AQ23" s="17">
        <f t="shared" si="23"/>
        <v>0</v>
      </c>
      <c r="AR23" s="68">
        <v>0</v>
      </c>
      <c r="AS23" s="68">
        <f>Dec!AA7</f>
        <v>0</v>
      </c>
      <c r="AT23" s="17">
        <f t="shared" si="24"/>
        <v>0</v>
      </c>
      <c r="AY23" s="25"/>
    </row>
    <row r="24" spans="3:52">
      <c r="D24" s="18" t="s">
        <v>11</v>
      </c>
      <c r="E24" s="225">
        <f t="shared" si="9"/>
        <v>1080</v>
      </c>
      <c r="F24" s="68">
        <f t="shared" si="10"/>
        <v>-1827.19</v>
      </c>
      <c r="G24" s="68">
        <f t="shared" si="14"/>
        <v>-747.19</v>
      </c>
      <c r="H24" s="292">
        <f t="shared" si="15"/>
        <v>1.6918425925925926</v>
      </c>
      <c r="J24" s="67" t="s">
        <v>11</v>
      </c>
      <c r="K24" s="225">
        <v>300</v>
      </c>
      <c r="L24" s="68">
        <f>Jan!AA7</f>
        <v>-353</v>
      </c>
      <c r="M24" s="17">
        <f t="shared" si="16"/>
        <v>-53</v>
      </c>
      <c r="N24" s="225">
        <v>300</v>
      </c>
      <c r="O24" s="68">
        <f>Feb!AA7</f>
        <v>-150</v>
      </c>
      <c r="P24" s="17">
        <f t="shared" si="17"/>
        <v>150</v>
      </c>
      <c r="Q24" s="225">
        <v>20</v>
      </c>
      <c r="R24" s="68">
        <f>Mar!AA7</f>
        <v>-450</v>
      </c>
      <c r="S24" s="17">
        <f t="shared" si="11"/>
        <v>-430</v>
      </c>
      <c r="T24" s="225">
        <v>20</v>
      </c>
      <c r="U24" s="68">
        <f>'Apr '!AA7</f>
        <v>-539</v>
      </c>
      <c r="V24" s="17">
        <f t="shared" si="18"/>
        <v>-519</v>
      </c>
      <c r="W24" s="225">
        <v>300</v>
      </c>
      <c r="X24" s="68">
        <f>'May '!AA7</f>
        <v>-262</v>
      </c>
      <c r="Y24" s="17">
        <f t="shared" si="12"/>
        <v>38</v>
      </c>
      <c r="Z24" s="225">
        <v>20</v>
      </c>
      <c r="AA24" s="68">
        <f>'Jun '!AA7</f>
        <v>-73.19</v>
      </c>
      <c r="AB24" s="68">
        <f t="shared" si="19"/>
        <v>-53.19</v>
      </c>
      <c r="AC24" s="225">
        <v>20</v>
      </c>
      <c r="AD24" s="68">
        <f>Jul!AA7</f>
        <v>0</v>
      </c>
      <c r="AE24" s="17">
        <f t="shared" si="13"/>
        <v>20</v>
      </c>
      <c r="AF24" s="225">
        <v>20</v>
      </c>
      <c r="AG24" s="68">
        <f>Aug!AA7</f>
        <v>0</v>
      </c>
      <c r="AH24" s="17">
        <f t="shared" si="20"/>
        <v>20</v>
      </c>
      <c r="AI24" s="225">
        <v>20</v>
      </c>
      <c r="AJ24" s="68">
        <f>Sep!AA7</f>
        <v>0</v>
      </c>
      <c r="AK24" s="17">
        <f t="shared" si="21"/>
        <v>20</v>
      </c>
      <c r="AL24" s="225">
        <v>20</v>
      </c>
      <c r="AM24" s="68">
        <f>Oct!AA7</f>
        <v>0</v>
      </c>
      <c r="AN24" s="17">
        <f t="shared" si="22"/>
        <v>20</v>
      </c>
      <c r="AO24" s="225">
        <v>20</v>
      </c>
      <c r="AP24" s="68">
        <f>Nov!AA7</f>
        <v>0</v>
      </c>
      <c r="AQ24" s="17">
        <f t="shared" si="23"/>
        <v>20</v>
      </c>
      <c r="AR24" s="68">
        <v>20</v>
      </c>
      <c r="AS24" s="68">
        <f>Dec!AA8</f>
        <v>0</v>
      </c>
      <c r="AT24" s="17">
        <f t="shared" si="24"/>
        <v>20</v>
      </c>
      <c r="AX24" s="34"/>
    </row>
    <row r="25" spans="3:52">
      <c r="D25" s="18" t="s">
        <v>12</v>
      </c>
      <c r="E25" s="225">
        <f t="shared" si="9"/>
        <v>8400</v>
      </c>
      <c r="F25" s="68">
        <f t="shared" si="10"/>
        <v>-3543.06</v>
      </c>
      <c r="G25" s="68">
        <f t="shared" si="14"/>
        <v>4856.9400000000005</v>
      </c>
      <c r="H25" s="292">
        <f t="shared" si="15"/>
        <v>0.42179285714285714</v>
      </c>
      <c r="J25" s="67" t="s">
        <v>12</v>
      </c>
      <c r="K25" s="225">
        <v>700</v>
      </c>
      <c r="L25" s="68">
        <f>Jan!AA8</f>
        <v>-492</v>
      </c>
      <c r="M25" s="17">
        <f t="shared" si="16"/>
        <v>208</v>
      </c>
      <c r="N25" s="225">
        <v>700</v>
      </c>
      <c r="O25" s="68">
        <f>Feb!AA8</f>
        <v>-687.74</v>
      </c>
      <c r="P25" s="17">
        <f t="shared" si="17"/>
        <v>12.259999999999991</v>
      </c>
      <c r="Q25" s="225">
        <v>700</v>
      </c>
      <c r="R25" s="68">
        <f>Mar!AA8</f>
        <v>-694.97</v>
      </c>
      <c r="S25" s="17">
        <f t="shared" si="11"/>
        <v>5.0299999999999727</v>
      </c>
      <c r="T25" s="225">
        <v>700</v>
      </c>
      <c r="U25" s="68">
        <f>'Apr '!AA8</f>
        <v>-751.29</v>
      </c>
      <c r="V25" s="17">
        <f t="shared" si="18"/>
        <v>-51.289999999999964</v>
      </c>
      <c r="W25" s="225">
        <v>700</v>
      </c>
      <c r="X25" s="68">
        <f>'May '!AA8</f>
        <v>-642.05999999999995</v>
      </c>
      <c r="Y25" s="17">
        <f t="shared" si="12"/>
        <v>57.940000000000055</v>
      </c>
      <c r="Z25" s="225">
        <v>700</v>
      </c>
      <c r="AA25" s="68">
        <f>'Jun '!AA8</f>
        <v>-275</v>
      </c>
      <c r="AB25" s="68">
        <f t="shared" si="19"/>
        <v>425</v>
      </c>
      <c r="AC25" s="225">
        <v>700</v>
      </c>
      <c r="AD25" s="68">
        <f>Jul!AA8</f>
        <v>0</v>
      </c>
      <c r="AE25" s="17">
        <v>650</v>
      </c>
      <c r="AF25" s="225">
        <v>700</v>
      </c>
      <c r="AG25" s="68">
        <f>Aug!AA8</f>
        <v>0</v>
      </c>
      <c r="AH25" s="17">
        <f t="shared" si="20"/>
        <v>700</v>
      </c>
      <c r="AI25" s="225">
        <v>700</v>
      </c>
      <c r="AJ25" s="68">
        <f>Sep!AA8</f>
        <v>0</v>
      </c>
      <c r="AK25" s="17">
        <f t="shared" si="21"/>
        <v>700</v>
      </c>
      <c r="AL25" s="225">
        <v>700</v>
      </c>
      <c r="AM25" s="68">
        <f>Oct!AA8</f>
        <v>0</v>
      </c>
      <c r="AN25" s="17">
        <f t="shared" si="22"/>
        <v>700</v>
      </c>
      <c r="AO25" s="225">
        <v>700</v>
      </c>
      <c r="AP25" s="68">
        <f>Nov!AA8</f>
        <v>0</v>
      </c>
      <c r="AQ25" s="17">
        <f t="shared" si="23"/>
        <v>700</v>
      </c>
      <c r="AR25" s="68">
        <v>700</v>
      </c>
      <c r="AS25" s="68">
        <f>Dec!AA9</f>
        <v>0</v>
      </c>
      <c r="AT25" s="17">
        <f t="shared" si="24"/>
        <v>700</v>
      </c>
      <c r="AX25" s="34"/>
      <c r="AZ25" s="25"/>
    </row>
    <row r="26" spans="3:52">
      <c r="D26" s="18" t="s">
        <v>13</v>
      </c>
      <c r="E26" s="225">
        <f t="shared" si="9"/>
        <v>15600</v>
      </c>
      <c r="F26" s="68">
        <f t="shared" si="10"/>
        <v>-8682.83</v>
      </c>
      <c r="G26" s="68">
        <f t="shared" si="14"/>
        <v>6917.17</v>
      </c>
      <c r="H26" s="292">
        <f t="shared" si="15"/>
        <v>0.55659166666666671</v>
      </c>
      <c r="J26" s="67" t="s">
        <v>13</v>
      </c>
      <c r="K26" s="225">
        <v>1300</v>
      </c>
      <c r="L26" s="68">
        <f>Jan!AA9</f>
        <v>-1652</v>
      </c>
      <c r="M26" s="17">
        <f t="shared" si="16"/>
        <v>-352</v>
      </c>
      <c r="N26" s="225">
        <v>1300</v>
      </c>
      <c r="O26" s="68">
        <f>Feb!AA9</f>
        <v>-1495</v>
      </c>
      <c r="P26" s="17">
        <f t="shared" si="17"/>
        <v>-195</v>
      </c>
      <c r="Q26" s="225">
        <v>1300</v>
      </c>
      <c r="R26" s="68">
        <f>Mar!AA9</f>
        <v>-1959</v>
      </c>
      <c r="S26" s="17">
        <f t="shared" si="11"/>
        <v>-659</v>
      </c>
      <c r="T26" s="225">
        <v>1300</v>
      </c>
      <c r="U26" s="68">
        <f>'Apr '!AA9</f>
        <v>-1631.13</v>
      </c>
      <c r="V26" s="17">
        <f t="shared" si="18"/>
        <v>-331.13000000000011</v>
      </c>
      <c r="W26" s="225">
        <v>1300</v>
      </c>
      <c r="X26" s="68">
        <f>'May '!AA9</f>
        <v>-1470.7</v>
      </c>
      <c r="Y26" s="17">
        <f t="shared" si="12"/>
        <v>-170.70000000000005</v>
      </c>
      <c r="Z26" s="225">
        <v>1300</v>
      </c>
      <c r="AA26" s="68">
        <f>'Jun '!AA9</f>
        <v>-475</v>
      </c>
      <c r="AB26" s="68">
        <f t="shared" si="19"/>
        <v>825</v>
      </c>
      <c r="AC26" s="225">
        <v>1300</v>
      </c>
      <c r="AD26" s="68">
        <f>Jul!AA9</f>
        <v>0</v>
      </c>
      <c r="AE26" s="17">
        <f t="shared" si="13"/>
        <v>1300</v>
      </c>
      <c r="AF26" s="225">
        <v>1300</v>
      </c>
      <c r="AG26" s="68">
        <f>Aug!AA9</f>
        <v>0</v>
      </c>
      <c r="AH26" s="17">
        <f t="shared" si="20"/>
        <v>1300</v>
      </c>
      <c r="AI26" s="225">
        <v>1300</v>
      </c>
      <c r="AJ26" s="68">
        <f>Sep!AA9</f>
        <v>0</v>
      </c>
      <c r="AK26" s="17">
        <f t="shared" si="21"/>
        <v>1300</v>
      </c>
      <c r="AL26" s="225">
        <v>1300</v>
      </c>
      <c r="AM26" s="68">
        <f>Oct!AA9</f>
        <v>0</v>
      </c>
      <c r="AN26" s="17">
        <f t="shared" si="22"/>
        <v>1300</v>
      </c>
      <c r="AO26" s="225">
        <v>1300</v>
      </c>
      <c r="AP26" s="68">
        <f>Nov!AA9</f>
        <v>0</v>
      </c>
      <c r="AQ26" s="17">
        <f t="shared" si="23"/>
        <v>1300</v>
      </c>
      <c r="AR26" s="68">
        <v>1300</v>
      </c>
      <c r="AS26" s="68">
        <f>Dec!AA10</f>
        <v>0</v>
      </c>
      <c r="AT26" s="17">
        <f t="shared" si="24"/>
        <v>1300</v>
      </c>
      <c r="AY26" s="34"/>
    </row>
    <row r="27" spans="3:52">
      <c r="D27" s="47" t="s">
        <v>14</v>
      </c>
      <c r="E27" s="225">
        <f t="shared" si="9"/>
        <v>1800</v>
      </c>
      <c r="F27" s="68">
        <f t="shared" si="10"/>
        <v>-2548.38</v>
      </c>
      <c r="G27" s="68">
        <f t="shared" si="14"/>
        <v>-748.38000000000011</v>
      </c>
      <c r="H27" s="292">
        <f t="shared" si="15"/>
        <v>1.4157666666666666</v>
      </c>
      <c r="J27" s="70" t="s">
        <v>14</v>
      </c>
      <c r="K27" s="225">
        <v>150</v>
      </c>
      <c r="L27" s="68">
        <f>Jan!AA10</f>
        <v>-733</v>
      </c>
      <c r="M27" s="17">
        <f t="shared" si="16"/>
        <v>-583</v>
      </c>
      <c r="N27" s="225">
        <v>150</v>
      </c>
      <c r="O27" s="68">
        <f>Feb!AA10</f>
        <v>-435</v>
      </c>
      <c r="P27" s="17">
        <f t="shared" si="17"/>
        <v>-285</v>
      </c>
      <c r="Q27" s="225">
        <v>150</v>
      </c>
      <c r="R27" s="68">
        <f>Mar!AA10</f>
        <v>-853</v>
      </c>
      <c r="S27" s="17">
        <f t="shared" si="11"/>
        <v>-703</v>
      </c>
      <c r="T27" s="225">
        <v>150</v>
      </c>
      <c r="U27" s="68">
        <f>'Apr '!AA10</f>
        <v>-347.38</v>
      </c>
      <c r="V27" s="17">
        <f t="shared" si="18"/>
        <v>-197.38</v>
      </c>
      <c r="W27" s="225">
        <v>150</v>
      </c>
      <c r="X27" s="68">
        <f>'May '!AA10</f>
        <v>-180</v>
      </c>
      <c r="Y27" s="17">
        <f t="shared" si="12"/>
        <v>-30</v>
      </c>
      <c r="Z27" s="225">
        <v>150</v>
      </c>
      <c r="AA27" s="68">
        <f>'Jun '!AA10</f>
        <v>0</v>
      </c>
      <c r="AB27" s="68">
        <f t="shared" si="19"/>
        <v>150</v>
      </c>
      <c r="AC27" s="225">
        <v>150</v>
      </c>
      <c r="AD27" s="68">
        <f>Jul!AA10</f>
        <v>0</v>
      </c>
      <c r="AE27" s="17">
        <f t="shared" si="13"/>
        <v>150</v>
      </c>
      <c r="AF27" s="225">
        <v>150</v>
      </c>
      <c r="AG27" s="68">
        <f>Aug!AA10</f>
        <v>0</v>
      </c>
      <c r="AH27" s="17">
        <f t="shared" si="20"/>
        <v>150</v>
      </c>
      <c r="AI27" s="225">
        <v>150</v>
      </c>
      <c r="AJ27" s="68">
        <f>Sep!AA10</f>
        <v>0</v>
      </c>
      <c r="AK27" s="17">
        <f t="shared" si="21"/>
        <v>150</v>
      </c>
      <c r="AL27" s="225">
        <v>150</v>
      </c>
      <c r="AM27" s="68">
        <f>Oct!AA10</f>
        <v>0</v>
      </c>
      <c r="AN27" s="17">
        <f t="shared" si="22"/>
        <v>150</v>
      </c>
      <c r="AO27" s="225">
        <v>150</v>
      </c>
      <c r="AP27" s="68">
        <f>Nov!AA10</f>
        <v>0</v>
      </c>
      <c r="AQ27" s="17">
        <f t="shared" si="23"/>
        <v>150</v>
      </c>
      <c r="AR27" s="68">
        <v>150</v>
      </c>
      <c r="AS27" s="68">
        <f>Dec!AA11</f>
        <v>0</v>
      </c>
      <c r="AT27" s="17">
        <f t="shared" si="24"/>
        <v>150</v>
      </c>
    </row>
    <row r="28" spans="3:52">
      <c r="D28" s="18" t="s">
        <v>15</v>
      </c>
      <c r="E28" s="225">
        <f t="shared" si="9"/>
        <v>2400</v>
      </c>
      <c r="F28" s="68">
        <f t="shared" si="10"/>
        <v>-1491.94</v>
      </c>
      <c r="G28" s="68">
        <f t="shared" si="14"/>
        <v>908.06</v>
      </c>
      <c r="H28" s="292">
        <f t="shared" si="15"/>
        <v>0.62164166666666665</v>
      </c>
      <c r="J28" s="67" t="s">
        <v>15</v>
      </c>
      <c r="K28" s="225">
        <v>200</v>
      </c>
      <c r="L28" s="68">
        <f>Jan!AA11</f>
        <v>-160</v>
      </c>
      <c r="M28" s="17">
        <f t="shared" si="16"/>
        <v>40</v>
      </c>
      <c r="N28" s="225">
        <v>200</v>
      </c>
      <c r="O28" s="68">
        <f>Feb!AA11</f>
        <v>-197.94</v>
      </c>
      <c r="P28" s="17">
        <f t="shared" si="17"/>
        <v>2.0600000000000023</v>
      </c>
      <c r="Q28" s="225">
        <v>200</v>
      </c>
      <c r="R28" s="68">
        <f>Mar!AA11</f>
        <v>-247</v>
      </c>
      <c r="S28" s="17">
        <f t="shared" si="11"/>
        <v>-47</v>
      </c>
      <c r="T28" s="225">
        <v>200</v>
      </c>
      <c r="U28" s="68">
        <f>'Apr '!AA11</f>
        <v>-293</v>
      </c>
      <c r="V28" s="17">
        <f t="shared" si="18"/>
        <v>-93</v>
      </c>
      <c r="W28" s="225">
        <v>200</v>
      </c>
      <c r="X28" s="68">
        <f>'May '!AA11</f>
        <v>-481</v>
      </c>
      <c r="Y28" s="17">
        <f t="shared" si="12"/>
        <v>-281</v>
      </c>
      <c r="Z28" s="225">
        <v>200</v>
      </c>
      <c r="AA28" s="68">
        <f>'Jun '!AA11</f>
        <v>-113</v>
      </c>
      <c r="AB28" s="68">
        <f t="shared" si="19"/>
        <v>87</v>
      </c>
      <c r="AC28" s="225">
        <v>200</v>
      </c>
      <c r="AD28" s="68">
        <f>Jul!AA11</f>
        <v>0</v>
      </c>
      <c r="AE28" s="17">
        <f t="shared" si="13"/>
        <v>200</v>
      </c>
      <c r="AF28" s="225">
        <v>200</v>
      </c>
      <c r="AG28" s="68">
        <f>Aug!AA11</f>
        <v>0</v>
      </c>
      <c r="AH28" s="17">
        <f t="shared" si="20"/>
        <v>200</v>
      </c>
      <c r="AI28" s="225">
        <v>200</v>
      </c>
      <c r="AJ28" s="68">
        <f>Sep!AA11</f>
        <v>0</v>
      </c>
      <c r="AK28" s="17">
        <f t="shared" si="21"/>
        <v>200</v>
      </c>
      <c r="AL28" s="225">
        <v>200</v>
      </c>
      <c r="AM28" s="68">
        <f>Oct!AA11</f>
        <v>0</v>
      </c>
      <c r="AN28" s="17">
        <f t="shared" si="22"/>
        <v>200</v>
      </c>
      <c r="AO28" s="225">
        <v>200</v>
      </c>
      <c r="AP28" s="68">
        <f>Nov!AA11</f>
        <v>0</v>
      </c>
      <c r="AQ28" s="17">
        <f t="shared" si="23"/>
        <v>200</v>
      </c>
      <c r="AR28" s="68">
        <v>200</v>
      </c>
      <c r="AS28" s="68">
        <f>Dec!AA12</f>
        <v>0</v>
      </c>
      <c r="AT28" s="17">
        <f t="shared" si="24"/>
        <v>200</v>
      </c>
    </row>
    <row r="29" spans="3:52">
      <c r="D29" s="18" t="s">
        <v>16</v>
      </c>
      <c r="E29" s="225">
        <f t="shared" si="9"/>
        <v>3650</v>
      </c>
      <c r="F29" s="68">
        <f t="shared" si="10"/>
        <v>-2699.84</v>
      </c>
      <c r="G29" s="68">
        <f t="shared" si="14"/>
        <v>950.15999999999985</v>
      </c>
      <c r="H29" s="292">
        <f t="shared" si="15"/>
        <v>0.73968219178082195</v>
      </c>
      <c r="J29" s="67" t="s">
        <v>16</v>
      </c>
      <c r="K29" s="225">
        <v>200</v>
      </c>
      <c r="L29" s="68">
        <f>Jan!AA12</f>
        <v>-275</v>
      </c>
      <c r="M29" s="17">
        <f t="shared" si="16"/>
        <v>-75</v>
      </c>
      <c r="N29" s="225">
        <v>200</v>
      </c>
      <c r="O29" s="68">
        <f>Feb!AA12</f>
        <v>-423</v>
      </c>
      <c r="P29" s="17">
        <f t="shared" si="17"/>
        <v>-223</v>
      </c>
      <c r="Q29" s="225">
        <v>200</v>
      </c>
      <c r="R29" s="68">
        <f>Mar!AA12</f>
        <v>-915</v>
      </c>
      <c r="S29" s="17">
        <f t="shared" si="11"/>
        <v>-715</v>
      </c>
      <c r="T29" s="225">
        <v>200</v>
      </c>
      <c r="U29" s="68">
        <f>'Apr '!AA12</f>
        <v>-496</v>
      </c>
      <c r="V29" s="17">
        <f t="shared" si="18"/>
        <v>-296</v>
      </c>
      <c r="W29" s="225">
        <v>500</v>
      </c>
      <c r="X29" s="68">
        <f>'May '!AA12</f>
        <v>-590.84</v>
      </c>
      <c r="Y29" s="17">
        <f t="shared" si="12"/>
        <v>-90.840000000000032</v>
      </c>
      <c r="Z29" s="225">
        <v>500</v>
      </c>
      <c r="AA29" s="68">
        <f>'Jun '!AA12</f>
        <v>0</v>
      </c>
      <c r="AB29" s="68">
        <f t="shared" si="19"/>
        <v>500</v>
      </c>
      <c r="AC29" s="225">
        <v>200</v>
      </c>
      <c r="AD29" s="68">
        <f>Jul!AA12</f>
        <v>0</v>
      </c>
      <c r="AE29" s="17">
        <f t="shared" si="13"/>
        <v>200</v>
      </c>
      <c r="AF29" s="225">
        <v>50</v>
      </c>
      <c r="AG29" s="68">
        <f>Aug!AA12</f>
        <v>0</v>
      </c>
      <c r="AH29" s="17">
        <f t="shared" si="20"/>
        <v>50</v>
      </c>
      <c r="AI29" s="225">
        <v>50</v>
      </c>
      <c r="AJ29" s="68">
        <f>Sep!AA12</f>
        <v>0</v>
      </c>
      <c r="AK29" s="17">
        <f t="shared" si="21"/>
        <v>50</v>
      </c>
      <c r="AL29" s="225">
        <v>50</v>
      </c>
      <c r="AM29" s="68">
        <f>Oct!AA12</f>
        <v>0</v>
      </c>
      <c r="AN29" s="17">
        <f t="shared" si="22"/>
        <v>50</v>
      </c>
      <c r="AO29" s="225">
        <v>500</v>
      </c>
      <c r="AP29" s="68">
        <f>Nov!AA12</f>
        <v>0</v>
      </c>
      <c r="AQ29" s="17">
        <f t="shared" si="23"/>
        <v>500</v>
      </c>
      <c r="AR29" s="68">
        <v>1000</v>
      </c>
      <c r="AS29" s="68">
        <f>Dec!AA13</f>
        <v>0</v>
      </c>
      <c r="AT29" s="17">
        <f t="shared" si="24"/>
        <v>1000</v>
      </c>
    </row>
    <row r="30" spans="3:52">
      <c r="D30" s="18" t="s">
        <v>17</v>
      </c>
      <c r="E30" s="225">
        <f t="shared" si="9"/>
        <v>12000</v>
      </c>
      <c r="F30" s="68">
        <f t="shared" si="10"/>
        <v>-4870.2599999999993</v>
      </c>
      <c r="G30" s="68">
        <f t="shared" si="14"/>
        <v>7129.7400000000007</v>
      </c>
      <c r="H30" s="292">
        <f t="shared" si="15"/>
        <v>0.40585499999999997</v>
      </c>
      <c r="J30" s="67" t="s">
        <v>17</v>
      </c>
      <c r="K30" s="225">
        <v>1000</v>
      </c>
      <c r="L30" s="68">
        <f>Jan!AA13</f>
        <v>-1314</v>
      </c>
      <c r="M30" s="17">
        <f t="shared" si="16"/>
        <v>-314</v>
      </c>
      <c r="N30" s="225">
        <v>1000</v>
      </c>
      <c r="O30" s="68">
        <f>Feb!AA13</f>
        <v>-777</v>
      </c>
      <c r="P30" s="17">
        <f t="shared" si="17"/>
        <v>223</v>
      </c>
      <c r="Q30" s="225">
        <v>1000</v>
      </c>
      <c r="R30" s="68">
        <f>Mar!AA13</f>
        <v>-700</v>
      </c>
      <c r="S30" s="17">
        <f t="shared" si="11"/>
        <v>300</v>
      </c>
      <c r="T30" s="225">
        <v>1000</v>
      </c>
      <c r="U30" s="68">
        <f>'Apr '!AA13</f>
        <v>-630</v>
      </c>
      <c r="V30" s="17">
        <f t="shared" si="18"/>
        <v>370</v>
      </c>
      <c r="W30" s="225">
        <v>1000</v>
      </c>
      <c r="X30" s="68">
        <f>'May '!AA13</f>
        <v>-1171.31</v>
      </c>
      <c r="Y30" s="17">
        <f t="shared" si="12"/>
        <v>-171.30999999999995</v>
      </c>
      <c r="Z30" s="225">
        <v>1000</v>
      </c>
      <c r="AA30" s="68">
        <f>'Jun '!AA13</f>
        <v>-277.95</v>
      </c>
      <c r="AB30" s="68">
        <f t="shared" si="19"/>
        <v>722.05</v>
      </c>
      <c r="AC30" s="225">
        <v>1000</v>
      </c>
      <c r="AD30" s="68">
        <f>Jul!AA13</f>
        <v>0</v>
      </c>
      <c r="AE30" s="17">
        <f t="shared" si="13"/>
        <v>1000</v>
      </c>
      <c r="AF30" s="225">
        <v>1000</v>
      </c>
      <c r="AG30" s="68">
        <f>Aug!AA13</f>
        <v>0</v>
      </c>
      <c r="AH30" s="17">
        <f t="shared" si="20"/>
        <v>1000</v>
      </c>
      <c r="AI30" s="225">
        <v>1000</v>
      </c>
      <c r="AJ30" s="68">
        <f>Sep!AA13</f>
        <v>0</v>
      </c>
      <c r="AK30" s="17">
        <f t="shared" si="21"/>
        <v>1000</v>
      </c>
      <c r="AL30" s="225">
        <v>1000</v>
      </c>
      <c r="AM30" s="68">
        <f>Oct!AA13</f>
        <v>0</v>
      </c>
      <c r="AN30" s="17">
        <f t="shared" si="22"/>
        <v>1000</v>
      </c>
      <c r="AO30" s="225">
        <v>1000</v>
      </c>
      <c r="AP30" s="68">
        <f>Nov!AA13</f>
        <v>0</v>
      </c>
      <c r="AQ30" s="17">
        <f t="shared" si="23"/>
        <v>1000</v>
      </c>
      <c r="AR30" s="68">
        <v>1000</v>
      </c>
      <c r="AS30" s="68">
        <f>Dec!AA14</f>
        <v>0</v>
      </c>
      <c r="AT30" s="17">
        <f t="shared" si="24"/>
        <v>1000</v>
      </c>
    </row>
    <row r="31" spans="3:52">
      <c r="D31" s="18" t="s">
        <v>18</v>
      </c>
      <c r="E31" s="225">
        <f t="shared" si="9"/>
        <v>2000</v>
      </c>
      <c r="F31" s="68">
        <f t="shared" si="10"/>
        <v>-359</v>
      </c>
      <c r="G31" s="68">
        <f t="shared" si="14"/>
        <v>1641</v>
      </c>
      <c r="H31" s="292">
        <f t="shared" si="15"/>
        <v>0.17949999999999999</v>
      </c>
      <c r="J31" s="67" t="s">
        <v>18</v>
      </c>
      <c r="K31" s="225">
        <v>100</v>
      </c>
      <c r="L31" s="68">
        <f>Jan!AA14</f>
        <v>0</v>
      </c>
      <c r="M31" s="17">
        <f t="shared" si="16"/>
        <v>100</v>
      </c>
      <c r="N31" s="225">
        <v>100</v>
      </c>
      <c r="O31" s="68">
        <f>Feb!AA14</f>
        <v>0</v>
      </c>
      <c r="P31" s="17">
        <f t="shared" si="17"/>
        <v>100</v>
      </c>
      <c r="Q31" s="225">
        <v>100</v>
      </c>
      <c r="R31" s="68">
        <f>Mar!AA14</f>
        <v>0</v>
      </c>
      <c r="S31" s="17">
        <f t="shared" si="11"/>
        <v>100</v>
      </c>
      <c r="T31" s="225">
        <v>100</v>
      </c>
      <c r="U31" s="68">
        <f>'Apr '!AA14</f>
        <v>-100</v>
      </c>
      <c r="V31" s="17">
        <f t="shared" si="18"/>
        <v>0</v>
      </c>
      <c r="W31" s="225">
        <v>200</v>
      </c>
      <c r="X31" s="68">
        <f>'May '!AA14</f>
        <v>-259</v>
      </c>
      <c r="Y31" s="17">
        <f t="shared" si="12"/>
        <v>-59</v>
      </c>
      <c r="Z31" s="225">
        <v>200</v>
      </c>
      <c r="AA31" s="68">
        <f>'Jun '!AA14</f>
        <v>0</v>
      </c>
      <c r="AB31" s="68">
        <f t="shared" si="19"/>
        <v>200</v>
      </c>
      <c r="AC31" s="225">
        <v>200</v>
      </c>
      <c r="AD31" s="68">
        <f>Jul!AA14</f>
        <v>0</v>
      </c>
      <c r="AE31" s="17">
        <f t="shared" si="13"/>
        <v>200</v>
      </c>
      <c r="AF31" s="225">
        <v>200</v>
      </c>
      <c r="AG31" s="68">
        <f>Aug!AA14</f>
        <v>0</v>
      </c>
      <c r="AH31" s="17">
        <f t="shared" si="20"/>
        <v>200</v>
      </c>
      <c r="AI31" s="225">
        <v>200</v>
      </c>
      <c r="AJ31" s="68">
        <f>Sep!AA14</f>
        <v>0</v>
      </c>
      <c r="AK31" s="17">
        <f t="shared" si="21"/>
        <v>200</v>
      </c>
      <c r="AL31" s="225">
        <v>200</v>
      </c>
      <c r="AM31" s="68">
        <f>Oct!AA14</f>
        <v>0</v>
      </c>
      <c r="AN31" s="17">
        <f t="shared" si="22"/>
        <v>200</v>
      </c>
      <c r="AO31" s="225">
        <v>200</v>
      </c>
      <c r="AP31" s="68">
        <f>Nov!AA14</f>
        <v>0</v>
      </c>
      <c r="AQ31" s="17">
        <f t="shared" si="23"/>
        <v>200</v>
      </c>
      <c r="AR31" s="68">
        <v>200</v>
      </c>
      <c r="AS31" s="68">
        <f>Dec!AA15</f>
        <v>0</v>
      </c>
      <c r="AT31" s="17">
        <f t="shared" si="24"/>
        <v>200</v>
      </c>
    </row>
    <row r="32" spans="3:52">
      <c r="D32" s="18" t="s">
        <v>19</v>
      </c>
      <c r="E32" s="225">
        <f t="shared" si="9"/>
        <v>0</v>
      </c>
      <c r="F32" s="68">
        <f t="shared" si="10"/>
        <v>0</v>
      </c>
      <c r="G32" s="68">
        <f t="shared" ref="G32:G40" si="25">E32+F32</f>
        <v>0</v>
      </c>
      <c r="H32" s="292">
        <v>0</v>
      </c>
      <c r="J32" s="67" t="s">
        <v>19</v>
      </c>
      <c r="K32" s="225">
        <v>0</v>
      </c>
      <c r="L32" s="68">
        <f>Jan!AA15</f>
        <v>0</v>
      </c>
      <c r="M32" s="17">
        <f t="shared" si="16"/>
        <v>0</v>
      </c>
      <c r="N32" s="225">
        <v>0</v>
      </c>
      <c r="O32" s="68">
        <f>Feb!AA15</f>
        <v>0</v>
      </c>
      <c r="P32" s="17">
        <f t="shared" ref="P32:P39" si="26">N32+O32</f>
        <v>0</v>
      </c>
      <c r="Q32" s="225">
        <v>0</v>
      </c>
      <c r="R32" s="68">
        <f>Mar!AA15</f>
        <v>0</v>
      </c>
      <c r="S32" s="17">
        <f t="shared" si="11"/>
        <v>0</v>
      </c>
      <c r="T32" s="225">
        <v>0</v>
      </c>
      <c r="U32" s="68">
        <f>'Apr '!AA15</f>
        <v>0</v>
      </c>
      <c r="V32" s="17">
        <f t="shared" si="18"/>
        <v>0</v>
      </c>
      <c r="W32" s="225">
        <v>0</v>
      </c>
      <c r="X32" s="68">
        <f>'May '!AA15</f>
        <v>0</v>
      </c>
      <c r="Y32" s="17">
        <f t="shared" si="12"/>
        <v>0</v>
      </c>
      <c r="Z32" s="225">
        <v>0</v>
      </c>
      <c r="AA32" s="68">
        <f>'Jun '!AA15</f>
        <v>0</v>
      </c>
      <c r="AB32" s="68">
        <f t="shared" si="19"/>
        <v>0</v>
      </c>
      <c r="AC32" s="225">
        <v>0</v>
      </c>
      <c r="AD32" s="68">
        <f>Jul!AA15</f>
        <v>0</v>
      </c>
      <c r="AE32" s="17">
        <f t="shared" si="13"/>
        <v>0</v>
      </c>
      <c r="AF32" s="225">
        <v>0</v>
      </c>
      <c r="AG32" s="68">
        <f>Aug!AA15</f>
        <v>0</v>
      </c>
      <c r="AH32" s="17">
        <f t="shared" si="20"/>
        <v>0</v>
      </c>
      <c r="AI32" s="225">
        <v>0</v>
      </c>
      <c r="AJ32" s="68">
        <f>Sep!AA15</f>
        <v>0</v>
      </c>
      <c r="AK32" s="17">
        <f t="shared" si="21"/>
        <v>0</v>
      </c>
      <c r="AL32" s="225">
        <v>0</v>
      </c>
      <c r="AM32" s="68">
        <f>Oct!AA15</f>
        <v>0</v>
      </c>
      <c r="AN32" s="17">
        <f t="shared" si="22"/>
        <v>0</v>
      </c>
      <c r="AO32" s="225">
        <v>0</v>
      </c>
      <c r="AP32" s="68">
        <f>Nov!AA15</f>
        <v>0</v>
      </c>
      <c r="AQ32" s="17">
        <f t="shared" si="23"/>
        <v>0</v>
      </c>
      <c r="AR32" s="68">
        <v>0</v>
      </c>
      <c r="AS32" s="68">
        <f>Dec!AA16</f>
        <v>0</v>
      </c>
      <c r="AT32" s="17">
        <f t="shared" si="24"/>
        <v>0</v>
      </c>
    </row>
    <row r="33" spans="4:46">
      <c r="D33" s="18" t="s">
        <v>20</v>
      </c>
      <c r="E33" s="225">
        <f t="shared" si="9"/>
        <v>7600</v>
      </c>
      <c r="F33" s="68">
        <f t="shared" si="10"/>
        <v>-2080</v>
      </c>
      <c r="G33" s="68">
        <f t="shared" si="25"/>
        <v>5520</v>
      </c>
      <c r="H33" s="292">
        <f t="shared" si="15"/>
        <v>0.27368421052631581</v>
      </c>
      <c r="J33" s="67" t="s">
        <v>20</v>
      </c>
      <c r="K33" s="225">
        <v>2000</v>
      </c>
      <c r="L33" s="68">
        <f>Jan!AA16</f>
        <v>-287</v>
      </c>
      <c r="M33" s="17">
        <f t="shared" si="16"/>
        <v>1713</v>
      </c>
      <c r="N33" s="225">
        <v>500</v>
      </c>
      <c r="O33" s="68">
        <f>Feb!AA16</f>
        <v>-300</v>
      </c>
      <c r="P33" s="17">
        <f t="shared" si="26"/>
        <v>200</v>
      </c>
      <c r="Q33" s="225">
        <v>500</v>
      </c>
      <c r="R33" s="68">
        <f>Mar!AA16</f>
        <v>-457</v>
      </c>
      <c r="S33" s="17">
        <f t="shared" si="11"/>
        <v>43</v>
      </c>
      <c r="T33" s="225">
        <v>500</v>
      </c>
      <c r="U33" s="68">
        <f>'Apr '!AA16</f>
        <v>-906</v>
      </c>
      <c r="V33" s="17">
        <f t="shared" si="18"/>
        <v>-406</v>
      </c>
      <c r="W33" s="225">
        <v>500</v>
      </c>
      <c r="X33" s="68">
        <f>'May '!AA16</f>
        <v>-50</v>
      </c>
      <c r="Y33" s="17">
        <f t="shared" si="12"/>
        <v>450</v>
      </c>
      <c r="Z33" s="225">
        <v>500</v>
      </c>
      <c r="AA33" s="68">
        <f>'Jun '!AA16</f>
        <v>-80</v>
      </c>
      <c r="AB33" s="68">
        <f t="shared" si="19"/>
        <v>420</v>
      </c>
      <c r="AC33" s="225">
        <v>500</v>
      </c>
      <c r="AD33" s="68">
        <f>Jul!AA16</f>
        <v>0</v>
      </c>
      <c r="AE33" s="17">
        <f t="shared" si="13"/>
        <v>500</v>
      </c>
      <c r="AF33" s="225">
        <v>500</v>
      </c>
      <c r="AG33" s="68">
        <f>Aug!AA16</f>
        <v>0</v>
      </c>
      <c r="AH33" s="17">
        <f t="shared" si="20"/>
        <v>500</v>
      </c>
      <c r="AI33" s="225">
        <v>500</v>
      </c>
      <c r="AJ33" s="68">
        <f>Sep!AA16</f>
        <v>0</v>
      </c>
      <c r="AK33" s="17">
        <f t="shared" si="21"/>
        <v>500</v>
      </c>
      <c r="AL33" s="225">
        <v>500</v>
      </c>
      <c r="AM33" s="68">
        <f>Oct!AA16</f>
        <v>0</v>
      </c>
      <c r="AN33" s="17">
        <f t="shared" si="22"/>
        <v>500</v>
      </c>
      <c r="AO33" s="225">
        <v>500</v>
      </c>
      <c r="AP33" s="68">
        <f>Nov!AA16</f>
        <v>0</v>
      </c>
      <c r="AQ33" s="17">
        <f t="shared" si="23"/>
        <v>500</v>
      </c>
      <c r="AR33" s="68">
        <v>600</v>
      </c>
      <c r="AS33" s="68">
        <f>Dec!AA17</f>
        <v>0</v>
      </c>
      <c r="AT33" s="17">
        <f t="shared" si="24"/>
        <v>600</v>
      </c>
    </row>
    <row r="34" spans="4:46">
      <c r="D34" s="18" t="s">
        <v>21</v>
      </c>
      <c r="E34" s="225">
        <f t="shared" si="9"/>
        <v>9600</v>
      </c>
      <c r="F34" s="68">
        <f t="shared" si="10"/>
        <v>-4955.54</v>
      </c>
      <c r="G34" s="68">
        <f t="shared" si="25"/>
        <v>4644.46</v>
      </c>
      <c r="H34" s="292">
        <f t="shared" si="15"/>
        <v>0.51620208333333328</v>
      </c>
      <c r="J34" s="67" t="s">
        <v>21</v>
      </c>
      <c r="K34" s="225">
        <v>800</v>
      </c>
      <c r="L34" s="68">
        <f>Jan!AA17</f>
        <v>-1264</v>
      </c>
      <c r="M34" s="17">
        <f t="shared" si="16"/>
        <v>-464</v>
      </c>
      <c r="N34" s="225">
        <v>800</v>
      </c>
      <c r="O34" s="68">
        <f>Feb!AA17</f>
        <v>-499</v>
      </c>
      <c r="P34" s="17">
        <f t="shared" si="26"/>
        <v>301</v>
      </c>
      <c r="Q34" s="225">
        <v>800</v>
      </c>
      <c r="R34" s="68">
        <f>Mar!AA17</f>
        <v>-917</v>
      </c>
      <c r="S34" s="17">
        <f t="shared" si="11"/>
        <v>-117</v>
      </c>
      <c r="T34" s="225">
        <v>800</v>
      </c>
      <c r="U34" s="68">
        <f>'Apr '!AA17</f>
        <v>-910.27</v>
      </c>
      <c r="V34" s="17">
        <f t="shared" si="18"/>
        <v>-110.26999999999998</v>
      </c>
      <c r="W34" s="225">
        <v>800</v>
      </c>
      <c r="X34" s="68">
        <f>'May '!AA17</f>
        <v>-909.27</v>
      </c>
      <c r="Y34" s="17">
        <f t="shared" si="12"/>
        <v>-109.26999999999998</v>
      </c>
      <c r="Z34" s="225">
        <v>800</v>
      </c>
      <c r="AA34" s="68">
        <f>'Jun '!AA17</f>
        <v>-456</v>
      </c>
      <c r="AB34" s="68">
        <f t="shared" si="19"/>
        <v>344</v>
      </c>
      <c r="AC34" s="225">
        <v>800</v>
      </c>
      <c r="AD34" s="68">
        <f>Jul!AA17</f>
        <v>0</v>
      </c>
      <c r="AE34" s="17">
        <f t="shared" si="13"/>
        <v>800</v>
      </c>
      <c r="AF34" s="225">
        <v>800</v>
      </c>
      <c r="AG34" s="68">
        <f>Aug!AA17</f>
        <v>0</v>
      </c>
      <c r="AH34" s="17">
        <f t="shared" si="20"/>
        <v>800</v>
      </c>
      <c r="AI34" s="225">
        <v>800</v>
      </c>
      <c r="AJ34" s="68">
        <f>Sep!AA17</f>
        <v>0</v>
      </c>
      <c r="AK34" s="17">
        <f t="shared" si="21"/>
        <v>800</v>
      </c>
      <c r="AL34" s="225">
        <v>800</v>
      </c>
      <c r="AM34" s="68">
        <f>Oct!AA17</f>
        <v>0</v>
      </c>
      <c r="AN34" s="17">
        <f t="shared" si="22"/>
        <v>800</v>
      </c>
      <c r="AO34" s="225">
        <v>800</v>
      </c>
      <c r="AP34" s="68">
        <f>Nov!AA17</f>
        <v>0</v>
      </c>
      <c r="AQ34" s="17">
        <f t="shared" si="23"/>
        <v>800</v>
      </c>
      <c r="AR34" s="225">
        <v>800</v>
      </c>
      <c r="AS34" s="68">
        <f>Dec!AA18</f>
        <v>0</v>
      </c>
      <c r="AT34" s="17">
        <f t="shared" si="24"/>
        <v>800</v>
      </c>
    </row>
    <row r="35" spans="4:46">
      <c r="D35" s="18" t="s">
        <v>22</v>
      </c>
      <c r="E35" s="225">
        <f t="shared" si="9"/>
        <v>49200</v>
      </c>
      <c r="F35" s="68">
        <f t="shared" si="10"/>
        <v>-25304</v>
      </c>
      <c r="G35" s="68">
        <f t="shared" si="25"/>
        <v>23896</v>
      </c>
      <c r="H35" s="292">
        <f t="shared" si="15"/>
        <v>0.51430894308943087</v>
      </c>
      <c r="J35" s="67" t="s">
        <v>22</v>
      </c>
      <c r="K35" s="225">
        <v>4100</v>
      </c>
      <c r="L35" s="68">
        <f>Jan!AA18</f>
        <v>-4134</v>
      </c>
      <c r="M35" s="17">
        <f t="shared" si="16"/>
        <v>-34</v>
      </c>
      <c r="N35" s="225">
        <v>4100</v>
      </c>
      <c r="O35" s="68">
        <f>Feb!AA18</f>
        <v>-4138</v>
      </c>
      <c r="P35" s="17">
        <f t="shared" si="26"/>
        <v>-38</v>
      </c>
      <c r="Q35" s="225">
        <v>4100</v>
      </c>
      <c r="R35" s="68">
        <f>Mar!AA18</f>
        <v>-4138</v>
      </c>
      <c r="S35" s="17">
        <f t="shared" si="11"/>
        <v>-38</v>
      </c>
      <c r="T35" s="225">
        <v>4100</v>
      </c>
      <c r="U35" s="68">
        <f>'Apr '!AA18</f>
        <v>-4618</v>
      </c>
      <c r="V35" s="17">
        <f t="shared" si="18"/>
        <v>-518</v>
      </c>
      <c r="W35" s="225">
        <v>4100</v>
      </c>
      <c r="X35" s="68">
        <f>'May '!AA18</f>
        <v>-4138</v>
      </c>
      <c r="Y35" s="17">
        <f t="shared" si="12"/>
        <v>-38</v>
      </c>
      <c r="Z35" s="225">
        <v>4100</v>
      </c>
      <c r="AA35" s="68">
        <f>'Jun '!AA18</f>
        <v>-4138</v>
      </c>
      <c r="AB35" s="68">
        <f t="shared" si="19"/>
        <v>-38</v>
      </c>
      <c r="AC35" s="225">
        <v>4100</v>
      </c>
      <c r="AD35" s="68">
        <f>Jul!AA18</f>
        <v>0</v>
      </c>
      <c r="AE35" s="17">
        <f t="shared" si="13"/>
        <v>4100</v>
      </c>
      <c r="AF35" s="225">
        <v>4100</v>
      </c>
      <c r="AG35" s="68">
        <f>Aug!AA18</f>
        <v>0</v>
      </c>
      <c r="AH35" s="17">
        <f t="shared" si="20"/>
        <v>4100</v>
      </c>
      <c r="AI35" s="225">
        <v>4100</v>
      </c>
      <c r="AJ35" s="68">
        <f>Sep!AA18</f>
        <v>0</v>
      </c>
      <c r="AK35" s="17">
        <f t="shared" si="21"/>
        <v>4100</v>
      </c>
      <c r="AL35" s="225">
        <v>4100</v>
      </c>
      <c r="AM35" s="68">
        <f>Oct!AA18</f>
        <v>0</v>
      </c>
      <c r="AN35" s="17">
        <f t="shared" si="22"/>
        <v>4100</v>
      </c>
      <c r="AO35" s="225">
        <v>4100</v>
      </c>
      <c r="AP35" s="68">
        <f>Nov!AA18</f>
        <v>0</v>
      </c>
      <c r="AQ35" s="17">
        <f t="shared" si="23"/>
        <v>4100</v>
      </c>
      <c r="AR35" s="68">
        <v>4100</v>
      </c>
      <c r="AS35" s="68">
        <f>Dec!AA19</f>
        <v>0</v>
      </c>
      <c r="AT35" s="17">
        <f t="shared" si="24"/>
        <v>4100</v>
      </c>
    </row>
    <row r="36" spans="4:46">
      <c r="D36" s="18" t="s">
        <v>23</v>
      </c>
      <c r="E36" s="225">
        <f t="shared" si="9"/>
        <v>5830.9999999999991</v>
      </c>
      <c r="F36" s="68">
        <f t="shared" si="10"/>
        <v>-5677</v>
      </c>
      <c r="G36" s="68">
        <f t="shared" si="25"/>
        <v>153.99999999999909</v>
      </c>
      <c r="H36" s="292">
        <f t="shared" si="15"/>
        <v>0.9735894357743099</v>
      </c>
      <c r="J36" s="67" t="s">
        <v>23</v>
      </c>
      <c r="K36" s="225">
        <v>150</v>
      </c>
      <c r="L36" s="68">
        <f>Jan!AA19</f>
        <v>0</v>
      </c>
      <c r="M36" s="17">
        <f t="shared" si="16"/>
        <v>150</v>
      </c>
      <c r="N36" s="225">
        <v>0</v>
      </c>
      <c r="O36" s="68">
        <f>Feb!AA19</f>
        <v>-1318</v>
      </c>
      <c r="P36" s="17">
        <f t="shared" si="26"/>
        <v>-1318</v>
      </c>
      <c r="Q36" s="225">
        <v>1800</v>
      </c>
      <c r="R36" s="68">
        <f>Mar!AA19</f>
        <v>-2709</v>
      </c>
      <c r="S36" s="17">
        <f t="shared" si="11"/>
        <v>-909</v>
      </c>
      <c r="T36" s="225">
        <v>0</v>
      </c>
      <c r="U36" s="68">
        <f>'Apr '!AA19</f>
        <v>-1508</v>
      </c>
      <c r="V36" s="17">
        <f t="shared" si="18"/>
        <v>-1508</v>
      </c>
      <c r="W36" s="225">
        <v>500</v>
      </c>
      <c r="X36" s="68">
        <f>'May '!AA19</f>
        <v>-142</v>
      </c>
      <c r="Y36" s="17">
        <f t="shared" si="12"/>
        <v>358</v>
      </c>
      <c r="Z36" s="225">
        <v>500</v>
      </c>
      <c r="AA36" s="68">
        <f>'Jun '!AA19</f>
        <v>0</v>
      </c>
      <c r="AB36" s="68">
        <f t="shared" si="19"/>
        <v>500</v>
      </c>
      <c r="AC36" s="225">
        <v>2000</v>
      </c>
      <c r="AD36" s="68">
        <f>Jul!AA19</f>
        <v>0</v>
      </c>
      <c r="AE36" s="17">
        <f t="shared" si="13"/>
        <v>2000</v>
      </c>
      <c r="AF36" s="225">
        <v>176.2</v>
      </c>
      <c r="AG36" s="68">
        <f>Aug!AA19</f>
        <v>0</v>
      </c>
      <c r="AH36" s="17">
        <f t="shared" si="20"/>
        <v>176.2</v>
      </c>
      <c r="AI36" s="225">
        <v>176.2</v>
      </c>
      <c r="AJ36" s="68">
        <f>Sep!AA19</f>
        <v>0</v>
      </c>
      <c r="AK36" s="17">
        <f t="shared" si="21"/>
        <v>176.2</v>
      </c>
      <c r="AL36" s="225">
        <v>176.2</v>
      </c>
      <c r="AM36" s="68">
        <f>Oct!AA19</f>
        <v>0</v>
      </c>
      <c r="AN36" s="17">
        <f t="shared" si="22"/>
        <v>176.2</v>
      </c>
      <c r="AO36" s="225">
        <v>176.2</v>
      </c>
      <c r="AP36" s="68">
        <f>Nov!AA19</f>
        <v>0</v>
      </c>
      <c r="AQ36" s="17">
        <f t="shared" si="23"/>
        <v>176.2</v>
      </c>
      <c r="AR36" s="68">
        <v>176.2</v>
      </c>
      <c r="AS36" s="68">
        <f>Dec!AA20</f>
        <v>0</v>
      </c>
      <c r="AT36" s="17">
        <f t="shared" si="24"/>
        <v>176.2</v>
      </c>
    </row>
    <row r="37" spans="4:46">
      <c r="D37" s="18" t="s">
        <v>24</v>
      </c>
      <c r="E37" s="225">
        <f t="shared" si="9"/>
        <v>5700</v>
      </c>
      <c r="F37" s="68">
        <f t="shared" si="10"/>
        <v>-3045</v>
      </c>
      <c r="G37" s="68">
        <f t="shared" si="25"/>
        <v>2655</v>
      </c>
      <c r="H37" s="292">
        <f t="shared" si="15"/>
        <v>0.53421052631578947</v>
      </c>
      <c r="J37" s="67" t="s">
        <v>24</v>
      </c>
      <c r="K37" s="225">
        <v>200</v>
      </c>
      <c r="L37" s="68">
        <f>Jan!AA20</f>
        <v>-200</v>
      </c>
      <c r="M37" s="17">
        <f>K37+L37</f>
        <v>0</v>
      </c>
      <c r="N37" s="225">
        <v>500</v>
      </c>
      <c r="O37" s="68">
        <f>Feb!AA20</f>
        <v>-500</v>
      </c>
      <c r="P37" s="17">
        <f>N37+O37</f>
        <v>0</v>
      </c>
      <c r="Q37" s="225">
        <v>500</v>
      </c>
      <c r="R37" s="68">
        <f>Mar!AA20</f>
        <v>-500</v>
      </c>
      <c r="S37" s="17">
        <f t="shared" si="11"/>
        <v>0</v>
      </c>
      <c r="T37" s="225">
        <v>500</v>
      </c>
      <c r="U37" s="68">
        <f>'Apr '!AA20</f>
        <v>-500</v>
      </c>
      <c r="V37" s="17">
        <f t="shared" si="18"/>
        <v>0</v>
      </c>
      <c r="W37" s="225">
        <v>500</v>
      </c>
      <c r="X37" s="68">
        <f>'May '!AA20</f>
        <v>-845</v>
      </c>
      <c r="Y37" s="17">
        <f t="shared" si="12"/>
        <v>-345</v>
      </c>
      <c r="Z37" s="225">
        <v>500</v>
      </c>
      <c r="AA37" s="68">
        <f>'Jun '!AA20</f>
        <v>-500</v>
      </c>
      <c r="AB37" s="68">
        <f>Z37+AA37</f>
        <v>0</v>
      </c>
      <c r="AC37" s="225">
        <v>500</v>
      </c>
      <c r="AD37" s="68">
        <f>Jul!AA20</f>
        <v>0</v>
      </c>
      <c r="AE37" s="17">
        <f t="shared" si="13"/>
        <v>500</v>
      </c>
      <c r="AF37" s="225">
        <v>500</v>
      </c>
      <c r="AG37" s="68">
        <f>Aug!AA20</f>
        <v>0</v>
      </c>
      <c r="AH37" s="17">
        <f>AF37+AG37</f>
        <v>500</v>
      </c>
      <c r="AI37" s="225">
        <v>500</v>
      </c>
      <c r="AJ37" s="68">
        <f>Sep!AA20</f>
        <v>0</v>
      </c>
      <c r="AK37" s="17">
        <f>AI37+AJ37</f>
        <v>500</v>
      </c>
      <c r="AL37" s="225">
        <v>500</v>
      </c>
      <c r="AM37" s="68">
        <f>Oct!AA20</f>
        <v>0</v>
      </c>
      <c r="AN37" s="17">
        <f>AL37+AM37</f>
        <v>500</v>
      </c>
      <c r="AO37" s="225">
        <v>500</v>
      </c>
      <c r="AP37" s="68">
        <f>Nov!AA20</f>
        <v>0</v>
      </c>
      <c r="AQ37" s="17">
        <f>AO37+AP37</f>
        <v>500</v>
      </c>
      <c r="AR37" s="68">
        <v>500</v>
      </c>
      <c r="AS37" s="68">
        <f>Dec!AA21</f>
        <v>0</v>
      </c>
      <c r="AT37" s="17">
        <f>AR37+AS37</f>
        <v>500</v>
      </c>
    </row>
    <row r="38" spans="4:46">
      <c r="D38" s="18" t="s">
        <v>25</v>
      </c>
      <c r="E38" s="225">
        <f t="shared" si="9"/>
        <v>3323</v>
      </c>
      <c r="F38" s="68">
        <f t="shared" si="10"/>
        <v>-830</v>
      </c>
      <c r="G38" s="68">
        <f t="shared" si="25"/>
        <v>2493</v>
      </c>
      <c r="H38" s="292">
        <f t="shared" si="15"/>
        <v>0.24977430033102618</v>
      </c>
      <c r="J38" s="67" t="s">
        <v>25</v>
      </c>
      <c r="K38" s="225">
        <v>200</v>
      </c>
      <c r="L38" s="68">
        <f>Jan!AA21</f>
        <v>0</v>
      </c>
      <c r="M38" s="17">
        <f t="shared" si="16"/>
        <v>200</v>
      </c>
      <c r="N38" s="225">
        <v>200</v>
      </c>
      <c r="O38" s="68">
        <f>Feb!AA21</f>
        <v>0</v>
      </c>
      <c r="P38" s="17">
        <f t="shared" si="26"/>
        <v>200</v>
      </c>
      <c r="Q38" s="225">
        <v>250</v>
      </c>
      <c r="R38" s="68">
        <f>Mar!AA21</f>
        <v>0</v>
      </c>
      <c r="S38" s="17">
        <f t="shared" si="11"/>
        <v>250</v>
      </c>
      <c r="T38" s="225">
        <v>250</v>
      </c>
      <c r="U38" s="68">
        <f>'Apr '!AA21</f>
        <v>-830</v>
      </c>
      <c r="V38" s="17">
        <f t="shared" si="18"/>
        <v>-580</v>
      </c>
      <c r="W38" s="225">
        <v>0</v>
      </c>
      <c r="X38" s="68">
        <f>'May '!AA21</f>
        <v>0</v>
      </c>
      <c r="Y38" s="17">
        <f t="shared" si="12"/>
        <v>0</v>
      </c>
      <c r="Z38" s="225">
        <v>500</v>
      </c>
      <c r="AA38" s="68">
        <f>'Jun '!AA21</f>
        <v>0</v>
      </c>
      <c r="AB38" s="68">
        <f>Z38+AA38</f>
        <v>500</v>
      </c>
      <c r="AC38" s="225">
        <v>500</v>
      </c>
      <c r="AD38" s="68">
        <f>Jul!AA21</f>
        <v>0</v>
      </c>
      <c r="AE38" s="17">
        <f t="shared" si="13"/>
        <v>500</v>
      </c>
      <c r="AF38" s="225">
        <v>523</v>
      </c>
      <c r="AG38" s="68">
        <f>Aug!AA21</f>
        <v>0</v>
      </c>
      <c r="AH38" s="17">
        <f>AF38+AG38</f>
        <v>523</v>
      </c>
      <c r="AI38" s="225">
        <v>500</v>
      </c>
      <c r="AJ38" s="68">
        <f>Sep!AA21</f>
        <v>0</v>
      </c>
      <c r="AK38" s="17">
        <f>AI38+AJ38</f>
        <v>500</v>
      </c>
      <c r="AL38" s="225">
        <v>0</v>
      </c>
      <c r="AM38" s="68">
        <f>Oct!AA21</f>
        <v>0</v>
      </c>
      <c r="AN38" s="17">
        <f>AL38+AM38</f>
        <v>0</v>
      </c>
      <c r="AO38" s="225">
        <v>200</v>
      </c>
      <c r="AP38" s="68">
        <f>Nov!AA21</f>
        <v>0</v>
      </c>
      <c r="AQ38" s="17">
        <f>AO38+AP38</f>
        <v>200</v>
      </c>
      <c r="AR38" s="68">
        <v>200</v>
      </c>
      <c r="AS38" s="68">
        <f>Dec!AA22</f>
        <v>0</v>
      </c>
      <c r="AT38" s="17">
        <f>AR38+AS38</f>
        <v>200</v>
      </c>
    </row>
    <row r="39" spans="4:46">
      <c r="D39" s="18" t="s">
        <v>26</v>
      </c>
      <c r="E39" s="225">
        <f t="shared" si="9"/>
        <v>3700</v>
      </c>
      <c r="F39" s="68">
        <f t="shared" si="10"/>
        <v>-1439.3</v>
      </c>
      <c r="G39" s="68">
        <f t="shared" si="25"/>
        <v>2260.6999999999998</v>
      </c>
      <c r="H39" s="292">
        <f t="shared" si="15"/>
        <v>0.38900000000000001</v>
      </c>
      <c r="J39" s="67" t="s">
        <v>26</v>
      </c>
      <c r="K39" s="225">
        <v>200</v>
      </c>
      <c r="L39" s="68">
        <f>Jan!AA22</f>
        <v>-425</v>
      </c>
      <c r="M39" s="17">
        <f t="shared" si="16"/>
        <v>-225</v>
      </c>
      <c r="N39" s="225">
        <v>200</v>
      </c>
      <c r="O39" s="68">
        <f>Feb!AA22</f>
        <v>-157</v>
      </c>
      <c r="P39" s="17">
        <f t="shared" si="26"/>
        <v>43</v>
      </c>
      <c r="Q39" s="225">
        <v>200</v>
      </c>
      <c r="R39" s="68">
        <f>Mar!AA22</f>
        <v>-24</v>
      </c>
      <c r="S39" s="17">
        <f t="shared" si="11"/>
        <v>176</v>
      </c>
      <c r="T39" s="225">
        <v>400</v>
      </c>
      <c r="U39" s="68">
        <f>'Apr '!AA22</f>
        <v>-290</v>
      </c>
      <c r="V39" s="17">
        <f t="shared" si="18"/>
        <v>110</v>
      </c>
      <c r="W39" s="225">
        <v>500</v>
      </c>
      <c r="X39" s="68">
        <f>'May '!AA22</f>
        <v>-508.3</v>
      </c>
      <c r="Y39" s="17">
        <f t="shared" si="12"/>
        <v>-8.3000000000000114</v>
      </c>
      <c r="Z39" s="225">
        <v>200</v>
      </c>
      <c r="AA39" s="68">
        <f>'Jun '!AA22</f>
        <v>-35</v>
      </c>
      <c r="AB39" s="68">
        <f>Z39+AA39</f>
        <v>165</v>
      </c>
      <c r="AC39" s="225">
        <v>1000</v>
      </c>
      <c r="AD39" s="68">
        <f>Jul!AA22</f>
        <v>0</v>
      </c>
      <c r="AE39" s="17">
        <f t="shared" si="13"/>
        <v>1000</v>
      </c>
      <c r="AF39" s="225">
        <v>200</v>
      </c>
      <c r="AG39" s="68">
        <f>Aug!AA22</f>
        <v>0</v>
      </c>
      <c r="AH39" s="17">
        <f>AF39+AG39</f>
        <v>200</v>
      </c>
      <c r="AI39" s="225">
        <v>200</v>
      </c>
      <c r="AJ39" s="68">
        <f>Sep!AA22</f>
        <v>0</v>
      </c>
      <c r="AK39" s="17">
        <f>AI39+AJ39</f>
        <v>200</v>
      </c>
      <c r="AL39" s="225">
        <v>200</v>
      </c>
      <c r="AM39" s="68">
        <f>Oct!AA22</f>
        <v>0</v>
      </c>
      <c r="AN39" s="17">
        <f>AL39+AM39</f>
        <v>200</v>
      </c>
      <c r="AO39" s="225">
        <v>200</v>
      </c>
      <c r="AP39" s="68">
        <f>Nov!AA22</f>
        <v>0</v>
      </c>
      <c r="AQ39" s="17">
        <f>AO39+AP39</f>
        <v>200</v>
      </c>
      <c r="AR39" s="68">
        <v>200</v>
      </c>
      <c r="AS39" s="68">
        <f>Dec!AA23</f>
        <v>0</v>
      </c>
      <c r="AT39" s="17">
        <f>AR39+AS39</f>
        <v>200</v>
      </c>
    </row>
    <row r="40" spans="4:46">
      <c r="D40" s="18" t="s">
        <v>27</v>
      </c>
      <c r="E40" s="225">
        <f t="shared" si="9"/>
        <v>10120</v>
      </c>
      <c r="F40" s="68">
        <f t="shared" si="10"/>
        <v>-11681</v>
      </c>
      <c r="G40" s="68">
        <f t="shared" si="25"/>
        <v>-1561</v>
      </c>
      <c r="H40" s="292">
        <f t="shared" si="15"/>
        <v>1.1542490118577076</v>
      </c>
      <c r="J40" s="18" t="s">
        <v>27</v>
      </c>
      <c r="K40" s="225">
        <v>120</v>
      </c>
      <c r="L40" s="68">
        <f>Jan!AA23</f>
        <v>-570</v>
      </c>
      <c r="M40" s="17">
        <f>K40+L40</f>
        <v>-450</v>
      </c>
      <c r="N40" s="225">
        <v>0</v>
      </c>
      <c r="O40" s="68">
        <f>Feb!AA23</f>
        <v>-260</v>
      </c>
      <c r="P40" s="17">
        <f>N40+O40</f>
        <v>-260</v>
      </c>
      <c r="Q40" s="225">
        <v>0</v>
      </c>
      <c r="R40" s="68">
        <f>Mar!AA24</f>
        <v>-880</v>
      </c>
      <c r="S40" s="17">
        <f>Q40+R40</f>
        <v>-880</v>
      </c>
      <c r="T40" s="225">
        <v>10000</v>
      </c>
      <c r="U40" s="68">
        <f>'Apr '!AA23</f>
        <v>-9906</v>
      </c>
      <c r="V40" s="17">
        <f>T40+U40</f>
        <v>94</v>
      </c>
      <c r="W40" s="225">
        <v>0</v>
      </c>
      <c r="X40" s="68">
        <f>'May '!AA23</f>
        <v>-65</v>
      </c>
      <c r="Y40" s="17">
        <f t="shared" si="12"/>
        <v>-65</v>
      </c>
      <c r="Z40" s="225">
        <v>0</v>
      </c>
      <c r="AA40" s="68">
        <f>'Jun '!AA23</f>
        <v>0</v>
      </c>
      <c r="AB40" s="68">
        <f>Z40+AA40</f>
        <v>0</v>
      </c>
      <c r="AC40" s="225">
        <v>0</v>
      </c>
      <c r="AD40" s="68">
        <f>Jul!AA23</f>
        <v>0</v>
      </c>
      <c r="AE40" s="68">
        <f t="shared" si="13"/>
        <v>0</v>
      </c>
      <c r="AF40" s="225">
        <v>0</v>
      </c>
      <c r="AG40" s="68">
        <f>Aug!AA23</f>
        <v>0</v>
      </c>
      <c r="AH40" s="17">
        <f>AF40+AG40</f>
        <v>0</v>
      </c>
      <c r="AI40" s="225">
        <v>0</v>
      </c>
      <c r="AJ40" s="68">
        <f>Sep!AA23</f>
        <v>0</v>
      </c>
      <c r="AK40" s="17">
        <f>AI40+AJ40</f>
        <v>0</v>
      </c>
      <c r="AL40" s="225">
        <v>0</v>
      </c>
      <c r="AM40" s="68">
        <f>Oct!AA23</f>
        <v>0</v>
      </c>
      <c r="AN40" s="17">
        <f>AL40+AM40</f>
        <v>0</v>
      </c>
      <c r="AO40" s="225">
        <v>0</v>
      </c>
      <c r="AP40" s="68">
        <f>Nov!AA23</f>
        <v>0</v>
      </c>
      <c r="AQ40" s="17">
        <f>AO40+AP40</f>
        <v>0</v>
      </c>
      <c r="AR40" s="68">
        <v>0</v>
      </c>
      <c r="AS40" s="68">
        <f>Dec!AA24</f>
        <v>0</v>
      </c>
      <c r="AT40" s="17">
        <f>AR40+AS40</f>
        <v>0</v>
      </c>
    </row>
    <row r="41" spans="4:46" ht="13.5" thickBot="1">
      <c r="D41" s="30" t="s">
        <v>28</v>
      </c>
      <c r="E41" s="225">
        <f t="shared" si="9"/>
        <v>10300</v>
      </c>
      <c r="F41" s="68">
        <f t="shared" si="10"/>
        <v>-4801</v>
      </c>
      <c r="G41" s="68">
        <f t="shared" ref="G41" si="27">E41+F41</f>
        <v>5499</v>
      </c>
      <c r="H41" s="293">
        <f t="shared" si="15"/>
        <v>0.46611650485436895</v>
      </c>
      <c r="J41" s="30" t="str">
        <f>D41</f>
        <v>Baby Sitter</v>
      </c>
      <c r="K41" s="226">
        <v>900</v>
      </c>
      <c r="L41" s="227">
        <f>Jan!AA24</f>
        <v>-880</v>
      </c>
      <c r="M41" s="228">
        <f>K41+L41</f>
        <v>20</v>
      </c>
      <c r="N41" s="226">
        <v>900</v>
      </c>
      <c r="O41" s="227">
        <f>Feb!AA24</f>
        <v>-880</v>
      </c>
      <c r="P41" s="228">
        <f>N41+O41</f>
        <v>20</v>
      </c>
      <c r="Q41" s="227">
        <v>900</v>
      </c>
      <c r="R41" s="227">
        <f>Mar!AA24</f>
        <v>-880</v>
      </c>
      <c r="S41" s="228">
        <f>Q41+R41</f>
        <v>20</v>
      </c>
      <c r="T41" s="226">
        <v>900</v>
      </c>
      <c r="U41" s="227">
        <f>'Apr '!AA24</f>
        <v>-880</v>
      </c>
      <c r="V41" s="228">
        <f>T41+U41</f>
        <v>20</v>
      </c>
      <c r="W41" s="226">
        <v>900</v>
      </c>
      <c r="X41" s="227">
        <f>'May '!AA24</f>
        <v>-1245</v>
      </c>
      <c r="Y41" s="228">
        <f t="shared" si="12"/>
        <v>-345</v>
      </c>
      <c r="Z41" s="226">
        <v>900</v>
      </c>
      <c r="AA41" s="227">
        <f>'Jun '!AA24</f>
        <v>-36</v>
      </c>
      <c r="AB41" s="227">
        <f>Z41+AA41</f>
        <v>864</v>
      </c>
      <c r="AC41" s="226">
        <v>800</v>
      </c>
      <c r="AD41" s="227">
        <f>Jul!AA24</f>
        <v>0</v>
      </c>
      <c r="AE41" s="227">
        <f t="shared" si="13"/>
        <v>800</v>
      </c>
      <c r="AF41" s="225">
        <v>900</v>
      </c>
      <c r="AG41" s="68">
        <f>Aug!AA24</f>
        <v>0</v>
      </c>
      <c r="AH41" s="17">
        <f>AF41+AG41</f>
        <v>900</v>
      </c>
      <c r="AI41" s="225">
        <v>800</v>
      </c>
      <c r="AJ41" s="68">
        <f>Sep!AA24</f>
        <v>0</v>
      </c>
      <c r="AK41" s="17">
        <f>AI41+AJ41</f>
        <v>800</v>
      </c>
      <c r="AL41" s="225">
        <v>800</v>
      </c>
      <c r="AM41" s="68">
        <f>Oct!AA24</f>
        <v>0</v>
      </c>
      <c r="AN41" s="17">
        <f>AL41+AM41</f>
        <v>800</v>
      </c>
      <c r="AO41" s="225">
        <v>800</v>
      </c>
      <c r="AP41" s="68">
        <f>Nov!AA24</f>
        <v>0</v>
      </c>
      <c r="AQ41" s="17">
        <f>AO41+AP41</f>
        <v>800</v>
      </c>
      <c r="AR41" s="68">
        <v>800</v>
      </c>
      <c r="AS41" s="68">
        <f>Dec!AA25</f>
        <v>0</v>
      </c>
      <c r="AT41" s="17">
        <f>AR41+AS41</f>
        <v>800</v>
      </c>
    </row>
    <row r="42" spans="4:46">
      <c r="D42" s="75" t="s">
        <v>29</v>
      </c>
      <c r="E42" s="268">
        <f>SUM(E21:E41)</f>
        <v>160944</v>
      </c>
      <c r="F42" s="269">
        <f>SUM(F21:F41)</f>
        <v>-89345</v>
      </c>
      <c r="G42" s="270">
        <f>SUM(G21:G40)</f>
        <v>66100</v>
      </c>
      <c r="J42" s="75" t="s">
        <v>29</v>
      </c>
      <c r="K42" s="226">
        <f>SUM(K21:K41)</f>
        <v>13325</v>
      </c>
      <c r="L42" s="227">
        <f t="shared" ref="L42:AT42" si="28">SUM(L21:L41)</f>
        <v>-13407</v>
      </c>
      <c r="M42" s="228">
        <f t="shared" si="28"/>
        <v>-82</v>
      </c>
      <c r="N42" s="226">
        <f t="shared" si="28"/>
        <v>11985</v>
      </c>
      <c r="O42" s="227">
        <f t="shared" si="28"/>
        <v>-12830.68</v>
      </c>
      <c r="P42" s="228">
        <f t="shared" si="28"/>
        <v>-845.68000000000006</v>
      </c>
      <c r="Q42" s="227">
        <f t="shared" si="28"/>
        <v>13555</v>
      </c>
      <c r="R42" s="227">
        <f t="shared" si="28"/>
        <v>-17117.97</v>
      </c>
      <c r="S42" s="228">
        <f t="shared" si="28"/>
        <v>-3562.9700000000003</v>
      </c>
      <c r="T42" s="226">
        <f t="shared" si="28"/>
        <v>21825</v>
      </c>
      <c r="U42" s="227">
        <f t="shared" si="28"/>
        <v>-25755.07</v>
      </c>
      <c r="V42" s="228">
        <f t="shared" si="28"/>
        <v>-3930.0699999999997</v>
      </c>
      <c r="W42" s="226">
        <f t="shared" si="28"/>
        <v>12855</v>
      </c>
      <c r="X42" s="227">
        <f t="shared" si="28"/>
        <v>-13700.14</v>
      </c>
      <c r="Y42" s="228">
        <f t="shared" si="28"/>
        <v>-845.13999999999987</v>
      </c>
      <c r="Z42" s="226">
        <f t="shared" si="28"/>
        <v>12775</v>
      </c>
      <c r="AA42" s="227">
        <f t="shared" si="28"/>
        <v>-6534.14</v>
      </c>
      <c r="AB42" s="228">
        <f t="shared" si="28"/>
        <v>6240.86</v>
      </c>
      <c r="AC42" s="226">
        <f t="shared" si="28"/>
        <v>14675</v>
      </c>
      <c r="AD42" s="227">
        <f t="shared" si="28"/>
        <v>0</v>
      </c>
      <c r="AE42" s="227">
        <f t="shared" si="28"/>
        <v>14625</v>
      </c>
      <c r="AF42" s="229">
        <f t="shared" si="28"/>
        <v>12024.2</v>
      </c>
      <c r="AG42" s="230">
        <f t="shared" si="28"/>
        <v>0</v>
      </c>
      <c r="AH42" s="231">
        <f t="shared" si="28"/>
        <v>12024.2</v>
      </c>
      <c r="AI42" s="232">
        <f t="shared" si="28"/>
        <v>11881.2</v>
      </c>
      <c r="AJ42" s="233">
        <f t="shared" si="28"/>
        <v>0</v>
      </c>
      <c r="AK42" s="234">
        <f t="shared" si="28"/>
        <v>11881.2</v>
      </c>
      <c r="AL42" s="232">
        <f t="shared" si="28"/>
        <v>11381.2</v>
      </c>
      <c r="AM42" s="233">
        <f t="shared" si="28"/>
        <v>0</v>
      </c>
      <c r="AN42" s="234">
        <f t="shared" si="28"/>
        <v>11381.2</v>
      </c>
      <c r="AO42" s="232">
        <f t="shared" si="28"/>
        <v>12031.2</v>
      </c>
      <c r="AP42" s="233">
        <f t="shared" si="28"/>
        <v>0</v>
      </c>
      <c r="AQ42" s="234">
        <f t="shared" si="28"/>
        <v>12031.2</v>
      </c>
      <c r="AR42" s="232">
        <f t="shared" si="28"/>
        <v>12631.2</v>
      </c>
      <c r="AS42" s="233">
        <f t="shared" si="28"/>
        <v>0</v>
      </c>
      <c r="AT42" s="234">
        <f t="shared" si="28"/>
        <v>12631.2</v>
      </c>
    </row>
    <row r="43" spans="4:46">
      <c r="E43" s="705">
        <v>2025</v>
      </c>
      <c r="F43" s="706"/>
      <c r="G43" s="707"/>
      <c r="J43" s="58">
        <v>2025</v>
      </c>
      <c r="K43" s="702">
        <v>45658</v>
      </c>
      <c r="L43" s="703"/>
      <c r="M43" s="704"/>
      <c r="N43" s="702">
        <v>45689</v>
      </c>
      <c r="O43" s="703"/>
      <c r="P43" s="704"/>
      <c r="Q43" s="702">
        <v>45717</v>
      </c>
      <c r="R43" s="708"/>
      <c r="S43" s="709"/>
      <c r="T43" s="702">
        <v>45748</v>
      </c>
      <c r="U43" s="703"/>
      <c r="V43" s="704"/>
      <c r="W43" s="702">
        <v>45778</v>
      </c>
      <c r="X43" s="708"/>
      <c r="Y43" s="709"/>
      <c r="Z43" s="702">
        <v>45809</v>
      </c>
      <c r="AA43" s="703"/>
      <c r="AB43" s="704"/>
      <c r="AC43" s="702">
        <v>45839</v>
      </c>
      <c r="AD43" s="708"/>
      <c r="AE43" s="709"/>
      <c r="AF43" s="702">
        <v>45870</v>
      </c>
      <c r="AG43" s="703"/>
      <c r="AH43" s="704"/>
      <c r="AI43" s="702">
        <v>45901</v>
      </c>
      <c r="AJ43" s="703"/>
      <c r="AK43" s="704"/>
      <c r="AL43" s="702">
        <v>45931</v>
      </c>
      <c r="AM43" s="703"/>
      <c r="AN43" s="704"/>
      <c r="AO43" s="702">
        <v>45962</v>
      </c>
      <c r="AP43" s="703"/>
      <c r="AQ43" s="704"/>
      <c r="AR43" s="702">
        <v>45992</v>
      </c>
      <c r="AS43" s="703"/>
      <c r="AT43" s="704"/>
    </row>
    <row r="44" spans="4:46">
      <c r="D44" s="106" t="s">
        <v>7</v>
      </c>
      <c r="E44" s="258" t="s">
        <v>60</v>
      </c>
      <c r="F44" s="259" t="s">
        <v>61</v>
      </c>
      <c r="G44" s="260" t="s">
        <v>62</v>
      </c>
      <c r="H44" s="502" t="s">
        <v>73</v>
      </c>
      <c r="I44" s="342"/>
      <c r="J44" s="106" t="s">
        <v>7</v>
      </c>
      <c r="K44" s="60" t="s">
        <v>60</v>
      </c>
      <c r="L44" s="61" t="s">
        <v>61</v>
      </c>
      <c r="M44" s="62" t="s">
        <v>62</v>
      </c>
      <c r="N44" s="60" t="s">
        <v>60</v>
      </c>
      <c r="O44" s="61" t="s">
        <v>61</v>
      </c>
      <c r="P44" s="61" t="s">
        <v>62</v>
      </c>
      <c r="Q44" s="60" t="s">
        <v>60</v>
      </c>
      <c r="R44" s="61" t="s">
        <v>61</v>
      </c>
      <c r="S44" s="62" t="s">
        <v>62</v>
      </c>
      <c r="T44" s="60" t="s">
        <v>60</v>
      </c>
      <c r="U44" s="61" t="s">
        <v>61</v>
      </c>
      <c r="V44" s="62" t="s">
        <v>62</v>
      </c>
      <c r="W44" s="60" t="s">
        <v>60</v>
      </c>
      <c r="X44" s="61" t="s">
        <v>61</v>
      </c>
      <c r="Y44" s="62" t="s">
        <v>62</v>
      </c>
      <c r="Z44" s="60" t="s">
        <v>60</v>
      </c>
      <c r="AA44" s="61" t="s">
        <v>61</v>
      </c>
      <c r="AB44" s="62" t="s">
        <v>62</v>
      </c>
      <c r="AC44" s="60" t="s">
        <v>60</v>
      </c>
      <c r="AD44" s="61" t="s">
        <v>61</v>
      </c>
      <c r="AE44" s="62" t="s">
        <v>62</v>
      </c>
      <c r="AF44" s="60" t="s">
        <v>60</v>
      </c>
      <c r="AG44" s="61" t="s">
        <v>61</v>
      </c>
      <c r="AH44" s="62" t="s">
        <v>62</v>
      </c>
      <c r="AI44" s="60" t="s">
        <v>60</v>
      </c>
      <c r="AJ44" s="61" t="s">
        <v>61</v>
      </c>
      <c r="AK44" s="62" t="s">
        <v>62</v>
      </c>
      <c r="AL44" s="60" t="s">
        <v>60</v>
      </c>
      <c r="AM44" s="61" t="s">
        <v>61</v>
      </c>
      <c r="AN44" s="62" t="s">
        <v>62</v>
      </c>
      <c r="AO44" s="60" t="s">
        <v>60</v>
      </c>
      <c r="AP44" s="61" t="s">
        <v>61</v>
      </c>
      <c r="AQ44" s="62" t="s">
        <v>62</v>
      </c>
      <c r="AR44" s="60" t="s">
        <v>60</v>
      </c>
      <c r="AS44" s="61" t="s">
        <v>61</v>
      </c>
      <c r="AT44" s="62" t="s">
        <v>62</v>
      </c>
    </row>
    <row r="45" spans="4:46">
      <c r="D45" s="543" t="s">
        <v>8</v>
      </c>
      <c r="E45" s="544">
        <f t="shared" ref="E45:E65" si="29">K45+N45+Q45+T45+W45+Z45+AC45+AF45+AI45+AL45+AO45+AR45</f>
        <v>5540</v>
      </c>
      <c r="F45" s="491">
        <f>L45+O45+R45+U45+X45+AA45+AD45+AG45+AJ45+AM45+AP45+AS45</f>
        <v>-4846.57</v>
      </c>
      <c r="G45" s="491">
        <f>E45+F45</f>
        <v>693.43000000000029</v>
      </c>
      <c r="H45" s="503">
        <f>ABS(F45)/E45</f>
        <v>0.87483212996389892</v>
      </c>
      <c r="I45" s="342"/>
      <c r="J45" s="490" t="s">
        <v>8</v>
      </c>
      <c r="K45" s="491">
        <v>350</v>
      </c>
      <c r="L45" s="491">
        <v>-478.5</v>
      </c>
      <c r="M45" s="492">
        <v>-128.5</v>
      </c>
      <c r="N45" s="491">
        <v>480</v>
      </c>
      <c r="O45" s="491">
        <v>-471.45000000000005</v>
      </c>
      <c r="P45" s="492">
        <v>8.5499999999999545</v>
      </c>
      <c r="Q45" s="491">
        <v>480</v>
      </c>
      <c r="R45" s="491">
        <v>-440.65</v>
      </c>
      <c r="S45" s="492">
        <v>39.350000000000023</v>
      </c>
      <c r="T45" s="491">
        <v>350</v>
      </c>
      <c r="U45" s="491">
        <v>-207.65</v>
      </c>
      <c r="V45" s="492">
        <v>142.35</v>
      </c>
      <c r="W45" s="491">
        <v>350</v>
      </c>
      <c r="X45" s="491">
        <v>-476</v>
      </c>
      <c r="Y45" s="492">
        <v>-126</v>
      </c>
      <c r="Z45" s="491">
        <v>350</v>
      </c>
      <c r="AA45" s="491">
        <v>-244.45999999999998</v>
      </c>
      <c r="AB45" s="491">
        <v>105.54000000000002</v>
      </c>
      <c r="AC45" s="491">
        <v>350</v>
      </c>
      <c r="AD45" s="491">
        <v>-370.46</v>
      </c>
      <c r="AE45" s="492">
        <v>-20.45999999999998</v>
      </c>
      <c r="AF45" s="491">
        <v>350</v>
      </c>
      <c r="AG45" s="491">
        <v>-264.45</v>
      </c>
      <c r="AH45" s="492">
        <v>85.550000000000011</v>
      </c>
      <c r="AI45" s="491">
        <v>350</v>
      </c>
      <c r="AJ45" s="491">
        <v>-469</v>
      </c>
      <c r="AK45" s="492">
        <v>-119</v>
      </c>
      <c r="AL45" s="65">
        <v>680</v>
      </c>
      <c r="AM45" s="65">
        <v>-754.95</v>
      </c>
      <c r="AN45" s="77">
        <v>-74.950000000000045</v>
      </c>
      <c r="AO45" s="65">
        <v>350</v>
      </c>
      <c r="AP45" s="65">
        <v>-453</v>
      </c>
      <c r="AQ45" s="77">
        <v>-103</v>
      </c>
      <c r="AR45" s="491">
        <v>1100</v>
      </c>
      <c r="AS45" s="491">
        <v>-216</v>
      </c>
      <c r="AT45" s="492">
        <v>884</v>
      </c>
    </row>
    <row r="46" spans="4:46">
      <c r="D46" s="343" t="s">
        <v>9</v>
      </c>
      <c r="E46" s="187">
        <f t="shared" si="29"/>
        <v>4020</v>
      </c>
      <c r="F46" s="188">
        <f t="shared" ref="F45:F65" si="30">L46+O46+R46+U46+X46+AA46+AD46+AG46+AJ46+AM46+AP46+AS46</f>
        <v>-4026.4700000000003</v>
      </c>
      <c r="G46" s="188">
        <f t="shared" ref="G46:G65" si="31">E46+F46</f>
        <v>-6.4700000000002547</v>
      </c>
      <c r="H46" s="504">
        <f t="shared" ref="H46:H65" si="32">ABS(F46)/E46</f>
        <v>1.0016094527363184</v>
      </c>
      <c r="I46" s="342"/>
      <c r="J46" s="493" t="s">
        <v>9</v>
      </c>
      <c r="K46" s="187">
        <v>335</v>
      </c>
      <c r="L46" s="188">
        <v>-336</v>
      </c>
      <c r="M46" s="193">
        <v>-1</v>
      </c>
      <c r="N46" s="187">
        <v>335</v>
      </c>
      <c r="O46" s="188">
        <v>-336</v>
      </c>
      <c r="P46" s="193">
        <v>-1</v>
      </c>
      <c r="Q46" s="187">
        <v>335</v>
      </c>
      <c r="R46" s="188">
        <v>-332</v>
      </c>
      <c r="S46" s="193">
        <v>3</v>
      </c>
      <c r="T46" s="187">
        <v>335</v>
      </c>
      <c r="U46" s="188">
        <v>-332</v>
      </c>
      <c r="V46" s="193">
        <v>3</v>
      </c>
      <c r="W46" s="187">
        <v>335</v>
      </c>
      <c r="X46" s="188">
        <v>-332.47</v>
      </c>
      <c r="Y46" s="193">
        <v>2.5299999999999727</v>
      </c>
      <c r="Z46" s="187">
        <v>335</v>
      </c>
      <c r="AA46" s="188">
        <v>-332</v>
      </c>
      <c r="AB46" s="188">
        <v>3</v>
      </c>
      <c r="AC46" s="187">
        <v>335</v>
      </c>
      <c r="AD46" s="188">
        <v>-332</v>
      </c>
      <c r="AE46" s="193">
        <v>3</v>
      </c>
      <c r="AF46" s="187">
        <v>335</v>
      </c>
      <c r="AG46" s="188">
        <v>-346</v>
      </c>
      <c r="AH46" s="193">
        <v>-11</v>
      </c>
      <c r="AI46" s="187">
        <v>335</v>
      </c>
      <c r="AJ46" s="188">
        <v>-342</v>
      </c>
      <c r="AK46" s="193">
        <v>-7</v>
      </c>
      <c r="AL46" s="225">
        <v>335</v>
      </c>
      <c r="AM46" s="68">
        <v>-322</v>
      </c>
      <c r="AN46" s="17">
        <v>13</v>
      </c>
      <c r="AO46" s="225">
        <v>335</v>
      </c>
      <c r="AP46" s="68">
        <v>-342</v>
      </c>
      <c r="AQ46" s="17">
        <v>-7</v>
      </c>
      <c r="AR46" s="188">
        <v>335</v>
      </c>
      <c r="AS46" s="188">
        <v>-342</v>
      </c>
      <c r="AT46" s="193">
        <v>-7</v>
      </c>
    </row>
    <row r="47" spans="4:46">
      <c r="D47" s="343" t="s">
        <v>10</v>
      </c>
      <c r="E47" s="187">
        <f t="shared" si="29"/>
        <v>160</v>
      </c>
      <c r="F47" s="188">
        <f t="shared" si="30"/>
        <v>0</v>
      </c>
      <c r="G47" s="188">
        <f t="shared" si="31"/>
        <v>160</v>
      </c>
      <c r="H47" s="504">
        <f t="shared" si="32"/>
        <v>0</v>
      </c>
      <c r="I47" s="342"/>
      <c r="J47" s="493" t="s">
        <v>10</v>
      </c>
      <c r="K47" s="187">
        <v>20</v>
      </c>
      <c r="L47" s="188">
        <v>0</v>
      </c>
      <c r="M47" s="193">
        <v>20</v>
      </c>
      <c r="N47" s="187">
        <v>20</v>
      </c>
      <c r="O47" s="188">
        <v>0</v>
      </c>
      <c r="P47" s="193">
        <v>20</v>
      </c>
      <c r="Q47" s="187">
        <v>20</v>
      </c>
      <c r="R47" s="188">
        <v>0</v>
      </c>
      <c r="S47" s="193">
        <v>20</v>
      </c>
      <c r="T47" s="187">
        <v>20</v>
      </c>
      <c r="U47" s="188">
        <v>0</v>
      </c>
      <c r="V47" s="193">
        <v>20</v>
      </c>
      <c r="W47" s="187">
        <v>20</v>
      </c>
      <c r="X47" s="188">
        <v>0</v>
      </c>
      <c r="Y47" s="193">
        <v>20</v>
      </c>
      <c r="Z47" s="187">
        <v>20</v>
      </c>
      <c r="AA47" s="188">
        <v>0</v>
      </c>
      <c r="AB47" s="188">
        <v>20</v>
      </c>
      <c r="AC47" s="187">
        <v>20</v>
      </c>
      <c r="AD47" s="188">
        <v>0</v>
      </c>
      <c r="AE47" s="193">
        <v>20</v>
      </c>
      <c r="AF47" s="187">
        <v>20</v>
      </c>
      <c r="AG47" s="188">
        <v>0</v>
      </c>
      <c r="AH47" s="193">
        <v>20</v>
      </c>
      <c r="AI47" s="187">
        <v>0</v>
      </c>
      <c r="AJ47" s="188">
        <v>0</v>
      </c>
      <c r="AK47" s="193">
        <v>0</v>
      </c>
      <c r="AL47" s="225">
        <v>0</v>
      </c>
      <c r="AM47" s="68">
        <v>0</v>
      </c>
      <c r="AN47" s="17">
        <v>0</v>
      </c>
      <c r="AO47" s="225">
        <v>0</v>
      </c>
      <c r="AP47" s="68">
        <v>0</v>
      </c>
      <c r="AQ47" s="17">
        <v>0</v>
      </c>
      <c r="AR47" s="188">
        <v>0</v>
      </c>
      <c r="AS47" s="188">
        <v>0</v>
      </c>
      <c r="AT47" s="193">
        <v>0</v>
      </c>
    </row>
    <row r="48" spans="4:46">
      <c r="D48" s="343" t="s">
        <v>11</v>
      </c>
      <c r="E48" s="187">
        <f t="shared" si="29"/>
        <v>1611</v>
      </c>
      <c r="F48" s="188">
        <f t="shared" si="30"/>
        <v>-3322.58</v>
      </c>
      <c r="G48" s="188">
        <f t="shared" si="31"/>
        <v>-1711.58</v>
      </c>
      <c r="H48" s="504">
        <f t="shared" si="32"/>
        <v>2.0624332712600868</v>
      </c>
      <c r="I48" s="342"/>
      <c r="J48" s="493" t="s">
        <v>11</v>
      </c>
      <c r="K48" s="187">
        <v>300</v>
      </c>
      <c r="L48" s="188">
        <v>-177</v>
      </c>
      <c r="M48" s="193">
        <v>123</v>
      </c>
      <c r="N48" s="187">
        <v>300</v>
      </c>
      <c r="O48" s="188">
        <v>-219</v>
      </c>
      <c r="P48" s="193">
        <v>81</v>
      </c>
      <c r="Q48" s="187">
        <v>20</v>
      </c>
      <c r="R48" s="188">
        <v>-361</v>
      </c>
      <c r="S48" s="193">
        <v>-341</v>
      </c>
      <c r="T48" s="187">
        <v>20</v>
      </c>
      <c r="U48" s="188">
        <v>-436</v>
      </c>
      <c r="V48" s="193">
        <v>-416</v>
      </c>
      <c r="W48" s="187">
        <v>300</v>
      </c>
      <c r="X48" s="188">
        <v>-53.76</v>
      </c>
      <c r="Y48" s="193">
        <v>246.24</v>
      </c>
      <c r="Z48" s="187">
        <v>20</v>
      </c>
      <c r="AA48" s="188">
        <v>-267.18</v>
      </c>
      <c r="AB48" s="188">
        <v>-247.18</v>
      </c>
      <c r="AC48" s="187">
        <v>20</v>
      </c>
      <c r="AD48" s="188">
        <v>-457</v>
      </c>
      <c r="AE48" s="193">
        <v>-437</v>
      </c>
      <c r="AF48" s="187">
        <v>551</v>
      </c>
      <c r="AG48" s="188">
        <v>-601.64</v>
      </c>
      <c r="AH48" s="193">
        <v>-50.639999999999986</v>
      </c>
      <c r="AI48" s="187">
        <v>20</v>
      </c>
      <c r="AJ48" s="188">
        <v>-45</v>
      </c>
      <c r="AK48" s="193">
        <v>-25</v>
      </c>
      <c r="AL48" s="225">
        <v>20</v>
      </c>
      <c r="AM48" s="68">
        <v>-51</v>
      </c>
      <c r="AN48" s="17">
        <v>-31</v>
      </c>
      <c r="AO48" s="225">
        <v>20</v>
      </c>
      <c r="AP48" s="68">
        <v>-574</v>
      </c>
      <c r="AQ48" s="17">
        <v>-554</v>
      </c>
      <c r="AR48" s="188">
        <v>20</v>
      </c>
      <c r="AS48" s="188">
        <v>-80</v>
      </c>
      <c r="AT48" s="193">
        <v>-60</v>
      </c>
    </row>
    <row r="49" spans="4:46">
      <c r="D49" s="343" t="s">
        <v>12</v>
      </c>
      <c r="E49" s="187">
        <f t="shared" si="29"/>
        <v>8400</v>
      </c>
      <c r="F49" s="188">
        <f t="shared" si="30"/>
        <v>-8054.25</v>
      </c>
      <c r="G49" s="188">
        <f t="shared" si="31"/>
        <v>345.75</v>
      </c>
      <c r="H49" s="504">
        <f t="shared" si="32"/>
        <v>0.95883928571428567</v>
      </c>
      <c r="I49" s="342"/>
      <c r="J49" s="493" t="s">
        <v>12</v>
      </c>
      <c r="K49" s="187">
        <v>700</v>
      </c>
      <c r="L49" s="188">
        <v>-724</v>
      </c>
      <c r="M49" s="193">
        <v>-24</v>
      </c>
      <c r="N49" s="187">
        <v>700</v>
      </c>
      <c r="O49" s="188">
        <v>-721</v>
      </c>
      <c r="P49" s="193">
        <v>-21</v>
      </c>
      <c r="Q49" s="187">
        <v>700</v>
      </c>
      <c r="R49" s="188">
        <v>-964.97</v>
      </c>
      <c r="S49" s="193">
        <v>-264.97000000000003</v>
      </c>
      <c r="T49" s="187">
        <v>700</v>
      </c>
      <c r="U49" s="188">
        <v>-139.68</v>
      </c>
      <c r="V49" s="193">
        <v>560.31999999999994</v>
      </c>
      <c r="W49" s="187">
        <v>700</v>
      </c>
      <c r="X49" s="188">
        <v>-605.15</v>
      </c>
      <c r="Y49" s="193">
        <v>94.850000000000023</v>
      </c>
      <c r="Z49" s="187">
        <v>700</v>
      </c>
      <c r="AA49" s="188">
        <v>-694</v>
      </c>
      <c r="AB49" s="188">
        <v>6</v>
      </c>
      <c r="AC49" s="187">
        <v>700</v>
      </c>
      <c r="AD49" s="188">
        <v>-940.68000000000006</v>
      </c>
      <c r="AE49" s="193">
        <v>650</v>
      </c>
      <c r="AF49" s="187">
        <v>700</v>
      </c>
      <c r="AG49" s="188">
        <v>-592.61</v>
      </c>
      <c r="AH49" s="193">
        <v>107.38999999999999</v>
      </c>
      <c r="AI49" s="187">
        <v>700</v>
      </c>
      <c r="AJ49" s="188">
        <v>-813.31999999999994</v>
      </c>
      <c r="AK49" s="193">
        <v>-113.31999999999994</v>
      </c>
      <c r="AL49" s="225">
        <v>700</v>
      </c>
      <c r="AM49" s="68">
        <v>-579.84</v>
      </c>
      <c r="AN49" s="17">
        <v>120.15999999999997</v>
      </c>
      <c r="AO49" s="225">
        <v>700</v>
      </c>
      <c r="AP49" s="68">
        <v>-621</v>
      </c>
      <c r="AQ49" s="17">
        <v>79</v>
      </c>
      <c r="AR49" s="188">
        <v>700</v>
      </c>
      <c r="AS49" s="188">
        <v>-658</v>
      </c>
      <c r="AT49" s="193">
        <v>42</v>
      </c>
    </row>
    <row r="50" spans="4:46">
      <c r="D50" s="343" t="s">
        <v>13</v>
      </c>
      <c r="E50" s="187">
        <f t="shared" si="29"/>
        <v>13200</v>
      </c>
      <c r="F50" s="188">
        <f t="shared" si="30"/>
        <v>-18139.490000000002</v>
      </c>
      <c r="G50" s="188">
        <f t="shared" si="31"/>
        <v>-4939.4900000000016</v>
      </c>
      <c r="H50" s="504">
        <f t="shared" si="32"/>
        <v>1.3742037878787881</v>
      </c>
      <c r="I50" s="342"/>
      <c r="J50" s="493" t="s">
        <v>13</v>
      </c>
      <c r="K50" s="187">
        <v>1100</v>
      </c>
      <c r="L50" s="188">
        <v>-420.52</v>
      </c>
      <c r="M50" s="193">
        <v>679.48</v>
      </c>
      <c r="N50" s="187">
        <v>1100</v>
      </c>
      <c r="O50" s="188">
        <v>-1193.8600000000001</v>
      </c>
      <c r="P50" s="193">
        <v>-93.860000000000127</v>
      </c>
      <c r="Q50" s="187">
        <v>1100</v>
      </c>
      <c r="R50" s="188">
        <v>-1637.4099999999999</v>
      </c>
      <c r="S50" s="193">
        <v>-537.40999999999985</v>
      </c>
      <c r="T50" s="187">
        <v>1100</v>
      </c>
      <c r="U50" s="188">
        <v>-2071</v>
      </c>
      <c r="V50" s="193">
        <v>-971</v>
      </c>
      <c r="W50" s="187">
        <v>1100</v>
      </c>
      <c r="X50" s="188">
        <v>-2648</v>
      </c>
      <c r="Y50" s="193">
        <v>-1548</v>
      </c>
      <c r="Z50" s="187">
        <v>1100</v>
      </c>
      <c r="AA50" s="188">
        <v>-1201.98</v>
      </c>
      <c r="AB50" s="188">
        <v>-101.98000000000002</v>
      </c>
      <c r="AC50" s="187">
        <v>1100</v>
      </c>
      <c r="AD50" s="188">
        <v>-1046</v>
      </c>
      <c r="AE50" s="193">
        <v>54</v>
      </c>
      <c r="AF50" s="187">
        <v>1100</v>
      </c>
      <c r="AG50" s="188">
        <v>-2228.34</v>
      </c>
      <c r="AH50" s="193">
        <v>-1128.3400000000001</v>
      </c>
      <c r="AI50" s="187">
        <v>1100</v>
      </c>
      <c r="AJ50" s="188">
        <v>-2053.38</v>
      </c>
      <c r="AK50" s="193">
        <v>-953.38000000000011</v>
      </c>
      <c r="AL50" s="225">
        <v>1100</v>
      </c>
      <c r="AM50" s="68">
        <v>-1182</v>
      </c>
      <c r="AN50" s="17">
        <v>-82</v>
      </c>
      <c r="AO50" s="225">
        <v>1100</v>
      </c>
      <c r="AP50" s="68">
        <v>-1634</v>
      </c>
      <c r="AQ50" s="17">
        <v>-534</v>
      </c>
      <c r="AR50" s="188">
        <v>1100</v>
      </c>
      <c r="AS50" s="188">
        <v>-823</v>
      </c>
      <c r="AT50" s="193">
        <v>277</v>
      </c>
    </row>
    <row r="51" spans="4:46">
      <c r="D51" s="345" t="s">
        <v>14</v>
      </c>
      <c r="E51" s="187">
        <f t="shared" si="29"/>
        <v>4916</v>
      </c>
      <c r="F51" s="188">
        <f t="shared" si="30"/>
        <v>-4789.0200000000004</v>
      </c>
      <c r="G51" s="188">
        <f t="shared" si="31"/>
        <v>126.97999999999956</v>
      </c>
      <c r="H51" s="504">
        <f t="shared" si="32"/>
        <v>0.97417005695687564</v>
      </c>
      <c r="I51" s="342"/>
      <c r="J51" s="494" t="s">
        <v>14</v>
      </c>
      <c r="K51" s="187">
        <v>1000</v>
      </c>
      <c r="L51" s="188">
        <v>-1051.3399999999999</v>
      </c>
      <c r="M51" s="193">
        <v>-51.339999999999918</v>
      </c>
      <c r="N51" s="187">
        <v>303</v>
      </c>
      <c r="O51" s="188">
        <v>-303</v>
      </c>
      <c r="P51" s="193">
        <v>0</v>
      </c>
      <c r="Q51" s="187">
        <v>150</v>
      </c>
      <c r="R51" s="188">
        <v>-93.19</v>
      </c>
      <c r="S51" s="193">
        <v>56.81</v>
      </c>
      <c r="T51" s="187">
        <v>150</v>
      </c>
      <c r="U51" s="188">
        <v>-134.49</v>
      </c>
      <c r="V51" s="193">
        <v>15.509999999999991</v>
      </c>
      <c r="W51" s="187">
        <v>150</v>
      </c>
      <c r="X51" s="188">
        <v>0</v>
      </c>
      <c r="Y51" s="193">
        <v>150</v>
      </c>
      <c r="Z51" s="187">
        <v>1613</v>
      </c>
      <c r="AA51" s="188">
        <v>-1613</v>
      </c>
      <c r="AB51" s="188">
        <v>0</v>
      </c>
      <c r="AC51" s="187">
        <v>800</v>
      </c>
      <c r="AD51" s="188">
        <v>-814</v>
      </c>
      <c r="AE51" s="193">
        <v>-14</v>
      </c>
      <c r="AF51" s="187">
        <v>150</v>
      </c>
      <c r="AG51" s="188">
        <v>-348</v>
      </c>
      <c r="AH51" s="193">
        <v>-198</v>
      </c>
      <c r="AI51" s="187">
        <v>150</v>
      </c>
      <c r="AJ51" s="188">
        <v>-77</v>
      </c>
      <c r="AK51" s="193">
        <v>73</v>
      </c>
      <c r="AL51" s="225">
        <v>150</v>
      </c>
      <c r="AM51" s="68">
        <v>-80</v>
      </c>
      <c r="AN51" s="17">
        <v>70</v>
      </c>
      <c r="AO51" s="225">
        <v>150</v>
      </c>
      <c r="AP51" s="68">
        <v>-75</v>
      </c>
      <c r="AQ51" s="17">
        <v>75</v>
      </c>
      <c r="AR51" s="188">
        <v>150</v>
      </c>
      <c r="AS51" s="188">
        <v>-200</v>
      </c>
      <c r="AT51" s="193">
        <v>-50</v>
      </c>
    </row>
    <row r="52" spans="4:46">
      <c r="D52" s="343" t="s">
        <v>15</v>
      </c>
      <c r="E52" s="187">
        <f t="shared" si="29"/>
        <v>2400</v>
      </c>
      <c r="F52" s="188">
        <f t="shared" si="30"/>
        <v>-2605.1</v>
      </c>
      <c r="G52" s="188">
        <f t="shared" si="31"/>
        <v>-205.09999999999991</v>
      </c>
      <c r="H52" s="504">
        <f t="shared" si="32"/>
        <v>1.0854583333333332</v>
      </c>
      <c r="I52" s="342"/>
      <c r="J52" s="493" t="s">
        <v>15</v>
      </c>
      <c r="K52" s="187">
        <v>200</v>
      </c>
      <c r="L52" s="188">
        <v>-327</v>
      </c>
      <c r="M52" s="193">
        <v>-127</v>
      </c>
      <c r="N52" s="187">
        <v>200</v>
      </c>
      <c r="O52" s="188">
        <v>-110</v>
      </c>
      <c r="P52" s="193">
        <v>90</v>
      </c>
      <c r="Q52" s="187">
        <v>200</v>
      </c>
      <c r="R52" s="188">
        <v>-289.27</v>
      </c>
      <c r="S52" s="193">
        <v>-89.269999999999982</v>
      </c>
      <c r="T52" s="187">
        <v>200</v>
      </c>
      <c r="U52" s="188">
        <v>-323</v>
      </c>
      <c r="V52" s="193">
        <v>-123</v>
      </c>
      <c r="W52" s="187">
        <v>200</v>
      </c>
      <c r="X52" s="188">
        <v>-188</v>
      </c>
      <c r="Y52" s="193">
        <v>12</v>
      </c>
      <c r="Z52" s="187">
        <v>200</v>
      </c>
      <c r="AA52" s="188">
        <v>-291.83</v>
      </c>
      <c r="AB52" s="188">
        <v>-91.829999999999984</v>
      </c>
      <c r="AC52" s="187">
        <v>200</v>
      </c>
      <c r="AD52" s="188">
        <v>-155</v>
      </c>
      <c r="AE52" s="193">
        <v>45</v>
      </c>
      <c r="AF52" s="187">
        <v>200</v>
      </c>
      <c r="AG52" s="188">
        <v>-201</v>
      </c>
      <c r="AH52" s="193">
        <v>-1</v>
      </c>
      <c r="AI52" s="187">
        <v>200</v>
      </c>
      <c r="AJ52" s="188">
        <v>-230</v>
      </c>
      <c r="AK52" s="193">
        <v>-30</v>
      </c>
      <c r="AL52" s="225">
        <v>200</v>
      </c>
      <c r="AM52" s="68">
        <v>-255</v>
      </c>
      <c r="AN52" s="17">
        <v>-55</v>
      </c>
      <c r="AO52" s="225">
        <v>200</v>
      </c>
      <c r="AP52" s="68">
        <v>-100</v>
      </c>
      <c r="AQ52" s="17">
        <v>100</v>
      </c>
      <c r="AR52" s="188">
        <v>200</v>
      </c>
      <c r="AS52" s="188">
        <v>-135</v>
      </c>
      <c r="AT52" s="193">
        <v>65</v>
      </c>
    </row>
    <row r="53" spans="4:46">
      <c r="D53" s="343" t="s">
        <v>16</v>
      </c>
      <c r="E53" s="187">
        <f t="shared" si="29"/>
        <v>3450</v>
      </c>
      <c r="F53" s="188">
        <f t="shared" si="30"/>
        <v>-3429</v>
      </c>
      <c r="G53" s="188">
        <f t="shared" si="31"/>
        <v>21</v>
      </c>
      <c r="H53" s="504">
        <f t="shared" si="32"/>
        <v>0.99391304347826082</v>
      </c>
      <c r="I53" s="342"/>
      <c r="J53" s="493" t="s">
        <v>16</v>
      </c>
      <c r="K53" s="187">
        <v>100</v>
      </c>
      <c r="L53" s="188">
        <v>-118</v>
      </c>
      <c r="M53" s="193">
        <v>-18</v>
      </c>
      <c r="N53" s="187">
        <v>50</v>
      </c>
      <c r="O53" s="188">
        <v>0</v>
      </c>
      <c r="P53" s="193">
        <v>50</v>
      </c>
      <c r="Q53" s="187">
        <v>50</v>
      </c>
      <c r="R53" s="188">
        <v>-84</v>
      </c>
      <c r="S53" s="193">
        <v>-34</v>
      </c>
      <c r="T53" s="187">
        <v>200</v>
      </c>
      <c r="U53" s="188">
        <v>0</v>
      </c>
      <c r="V53" s="193">
        <v>200</v>
      </c>
      <c r="W53" s="187">
        <v>300</v>
      </c>
      <c r="X53" s="188">
        <v>-400</v>
      </c>
      <c r="Y53" s="193">
        <v>-100</v>
      </c>
      <c r="Z53" s="187">
        <v>350</v>
      </c>
      <c r="AA53" s="188">
        <v>-528</v>
      </c>
      <c r="AB53" s="188">
        <v>-178</v>
      </c>
      <c r="AC53" s="187">
        <v>200</v>
      </c>
      <c r="AD53" s="188">
        <v>-120</v>
      </c>
      <c r="AE53" s="193">
        <v>80</v>
      </c>
      <c r="AF53" s="187">
        <v>600</v>
      </c>
      <c r="AG53" s="188">
        <v>-608</v>
      </c>
      <c r="AH53" s="193">
        <v>-8</v>
      </c>
      <c r="AI53" s="187">
        <v>50</v>
      </c>
      <c r="AJ53" s="188">
        <v>132</v>
      </c>
      <c r="AK53" s="193">
        <v>182</v>
      </c>
      <c r="AL53" s="225">
        <v>50</v>
      </c>
      <c r="AM53" s="68">
        <v>-723</v>
      </c>
      <c r="AN53" s="17">
        <v>-673</v>
      </c>
      <c r="AO53" s="225">
        <v>500</v>
      </c>
      <c r="AP53" s="68">
        <v>-520</v>
      </c>
      <c r="AQ53" s="17">
        <v>-20</v>
      </c>
      <c r="AR53" s="188">
        <v>1000</v>
      </c>
      <c r="AS53" s="188">
        <v>-460</v>
      </c>
      <c r="AT53" s="193">
        <v>540</v>
      </c>
    </row>
    <row r="54" spans="4:46">
      <c r="D54" s="343" t="s">
        <v>17</v>
      </c>
      <c r="E54" s="187">
        <f t="shared" si="29"/>
        <v>12000</v>
      </c>
      <c r="F54" s="188">
        <f t="shared" si="30"/>
        <v>-13428.26</v>
      </c>
      <c r="G54" s="188">
        <f t="shared" si="31"/>
        <v>-1428.2600000000002</v>
      </c>
      <c r="H54" s="504">
        <f t="shared" si="32"/>
        <v>1.1190216666666666</v>
      </c>
      <c r="I54" s="342"/>
      <c r="J54" s="493" t="s">
        <v>17</v>
      </c>
      <c r="K54" s="187">
        <v>1000</v>
      </c>
      <c r="L54" s="188">
        <v>-2267.44</v>
      </c>
      <c r="M54" s="193">
        <v>-1267.44</v>
      </c>
      <c r="N54" s="187">
        <v>1000</v>
      </c>
      <c r="O54" s="188">
        <v>-999.86</v>
      </c>
      <c r="P54" s="193">
        <v>0.13999999999998636</v>
      </c>
      <c r="Q54" s="187">
        <v>1000</v>
      </c>
      <c r="R54" s="188">
        <v>-1412</v>
      </c>
      <c r="S54" s="193">
        <v>-412</v>
      </c>
      <c r="T54" s="187">
        <v>1000</v>
      </c>
      <c r="U54" s="188">
        <v>-833.36</v>
      </c>
      <c r="V54" s="193">
        <v>166.64</v>
      </c>
      <c r="W54" s="187">
        <v>1000</v>
      </c>
      <c r="X54" s="188">
        <v>-501</v>
      </c>
      <c r="Y54" s="193">
        <v>499</v>
      </c>
      <c r="Z54" s="187">
        <v>1000</v>
      </c>
      <c r="AA54" s="188">
        <v>-1134</v>
      </c>
      <c r="AB54" s="188">
        <v>-134</v>
      </c>
      <c r="AC54" s="187">
        <v>1000</v>
      </c>
      <c r="AD54" s="188">
        <v>-1135</v>
      </c>
      <c r="AE54" s="193">
        <v>-135</v>
      </c>
      <c r="AF54" s="187">
        <v>1000</v>
      </c>
      <c r="AG54" s="188">
        <v>-526</v>
      </c>
      <c r="AH54" s="193">
        <v>474</v>
      </c>
      <c r="AI54" s="187">
        <v>1000</v>
      </c>
      <c r="AJ54" s="188">
        <v>-1074</v>
      </c>
      <c r="AK54" s="193">
        <v>-74</v>
      </c>
      <c r="AL54" s="225">
        <v>1000</v>
      </c>
      <c r="AM54" s="68">
        <v>-856</v>
      </c>
      <c r="AN54" s="17">
        <v>144</v>
      </c>
      <c r="AO54" s="225">
        <v>1000</v>
      </c>
      <c r="AP54" s="68">
        <v>-1144.5999999999999</v>
      </c>
      <c r="AQ54" s="17">
        <v>-144.59999999999991</v>
      </c>
      <c r="AR54" s="188">
        <v>1000</v>
      </c>
      <c r="AS54" s="188">
        <v>-1545</v>
      </c>
      <c r="AT54" s="193">
        <v>-545</v>
      </c>
    </row>
    <row r="55" spans="4:46">
      <c r="D55" s="343" t="s">
        <v>18</v>
      </c>
      <c r="E55" s="187">
        <f t="shared" si="29"/>
        <v>2400</v>
      </c>
      <c r="F55" s="188">
        <f t="shared" si="30"/>
        <v>-1858</v>
      </c>
      <c r="G55" s="188">
        <f t="shared" si="31"/>
        <v>542</v>
      </c>
      <c r="H55" s="504">
        <f t="shared" si="32"/>
        <v>0.77416666666666667</v>
      </c>
      <c r="I55" s="342"/>
      <c r="J55" s="493" t="s">
        <v>18</v>
      </c>
      <c r="K55" s="187">
        <v>200</v>
      </c>
      <c r="L55" s="188">
        <v>-270</v>
      </c>
      <c r="M55" s="193">
        <v>-70</v>
      </c>
      <c r="N55" s="187">
        <v>200</v>
      </c>
      <c r="O55" s="188">
        <v>-300</v>
      </c>
      <c r="P55" s="193">
        <v>-100</v>
      </c>
      <c r="Q55" s="187">
        <v>200</v>
      </c>
      <c r="R55" s="188">
        <v>-269</v>
      </c>
      <c r="S55" s="193">
        <v>-69</v>
      </c>
      <c r="T55" s="187">
        <v>200</v>
      </c>
      <c r="U55" s="188">
        <v>-180</v>
      </c>
      <c r="V55" s="193">
        <v>20</v>
      </c>
      <c r="W55" s="187">
        <v>200</v>
      </c>
      <c r="X55" s="188">
        <v>-170</v>
      </c>
      <c r="Y55" s="193">
        <v>30</v>
      </c>
      <c r="Z55" s="187">
        <v>200</v>
      </c>
      <c r="AA55" s="188">
        <v>-168</v>
      </c>
      <c r="AB55" s="188">
        <v>32</v>
      </c>
      <c r="AC55" s="187">
        <v>200</v>
      </c>
      <c r="AD55" s="188">
        <v>-160</v>
      </c>
      <c r="AE55" s="193">
        <v>40</v>
      </c>
      <c r="AF55" s="187">
        <v>200</v>
      </c>
      <c r="AG55" s="188">
        <v>-160</v>
      </c>
      <c r="AH55" s="193">
        <v>40</v>
      </c>
      <c r="AI55" s="187">
        <v>200</v>
      </c>
      <c r="AJ55" s="188">
        <v>0</v>
      </c>
      <c r="AK55" s="193">
        <v>200</v>
      </c>
      <c r="AL55" s="225">
        <v>200</v>
      </c>
      <c r="AM55" s="68">
        <v>0</v>
      </c>
      <c r="AN55" s="17">
        <v>200</v>
      </c>
      <c r="AO55" s="225">
        <v>200</v>
      </c>
      <c r="AP55" s="68">
        <v>-181</v>
      </c>
      <c r="AQ55" s="17">
        <v>19</v>
      </c>
      <c r="AR55" s="188">
        <v>200</v>
      </c>
      <c r="AS55" s="188">
        <v>0</v>
      </c>
      <c r="AT55" s="193">
        <v>200</v>
      </c>
    </row>
    <row r="56" spans="4:46">
      <c r="D56" s="343" t="s">
        <v>19</v>
      </c>
      <c r="E56" s="187">
        <f t="shared" si="29"/>
        <v>0</v>
      </c>
      <c r="F56" s="188">
        <f t="shared" si="30"/>
        <v>0</v>
      </c>
      <c r="G56" s="188">
        <f t="shared" si="31"/>
        <v>0</v>
      </c>
      <c r="H56" s="504">
        <v>0</v>
      </c>
      <c r="I56" s="342"/>
      <c r="J56" s="493" t="s">
        <v>19</v>
      </c>
      <c r="K56" s="187">
        <v>0</v>
      </c>
      <c r="L56" s="188">
        <v>0</v>
      </c>
      <c r="M56" s="193">
        <v>0</v>
      </c>
      <c r="N56" s="187">
        <v>0</v>
      </c>
      <c r="O56" s="188">
        <v>0</v>
      </c>
      <c r="P56" s="193">
        <v>0</v>
      </c>
      <c r="Q56" s="187">
        <v>0</v>
      </c>
      <c r="R56" s="188">
        <v>0</v>
      </c>
      <c r="S56" s="193">
        <v>0</v>
      </c>
      <c r="T56" s="187">
        <v>0</v>
      </c>
      <c r="U56" s="188">
        <v>0</v>
      </c>
      <c r="V56" s="193">
        <v>0</v>
      </c>
      <c r="W56" s="187">
        <v>0</v>
      </c>
      <c r="X56" s="188">
        <v>0</v>
      </c>
      <c r="Y56" s="193">
        <v>0</v>
      </c>
      <c r="Z56" s="187">
        <v>0</v>
      </c>
      <c r="AA56" s="188">
        <v>0</v>
      </c>
      <c r="AB56" s="188">
        <v>0</v>
      </c>
      <c r="AC56" s="187">
        <v>0</v>
      </c>
      <c r="AD56" s="188">
        <v>0</v>
      </c>
      <c r="AE56" s="193">
        <v>0</v>
      </c>
      <c r="AF56" s="187">
        <v>0</v>
      </c>
      <c r="AG56" s="188">
        <v>0</v>
      </c>
      <c r="AH56" s="193">
        <v>0</v>
      </c>
      <c r="AI56" s="187">
        <v>0</v>
      </c>
      <c r="AJ56" s="188">
        <v>0</v>
      </c>
      <c r="AK56" s="193">
        <v>0</v>
      </c>
      <c r="AL56" s="225">
        <v>0</v>
      </c>
      <c r="AM56" s="68">
        <v>0</v>
      </c>
      <c r="AN56" s="17">
        <v>0</v>
      </c>
      <c r="AO56" s="225">
        <v>0</v>
      </c>
      <c r="AP56" s="68">
        <v>0</v>
      </c>
      <c r="AQ56" s="17">
        <v>0</v>
      </c>
      <c r="AR56" s="188">
        <v>0</v>
      </c>
      <c r="AS56" s="188">
        <v>0</v>
      </c>
      <c r="AT56" s="193">
        <v>0</v>
      </c>
    </row>
    <row r="57" spans="4:46">
      <c r="D57" s="343" t="s">
        <v>20</v>
      </c>
      <c r="E57" s="187">
        <f t="shared" si="29"/>
        <v>7300</v>
      </c>
      <c r="F57" s="188">
        <f t="shared" si="30"/>
        <v>-8066.3799999999992</v>
      </c>
      <c r="G57" s="188">
        <f t="shared" si="31"/>
        <v>-766.3799999999992</v>
      </c>
      <c r="H57" s="504">
        <f t="shared" ref="H57:H66" si="33">ABS(F57)/E57</f>
        <v>1.1049835616438355</v>
      </c>
      <c r="I57" s="342"/>
      <c r="J57" s="493" t="s">
        <v>20</v>
      </c>
      <c r="K57" s="187">
        <v>2000</v>
      </c>
      <c r="L57" s="188">
        <v>-1718</v>
      </c>
      <c r="M57" s="193">
        <v>282</v>
      </c>
      <c r="N57" s="187">
        <v>500</v>
      </c>
      <c r="O57" s="188">
        <v>-169</v>
      </c>
      <c r="P57" s="193">
        <v>331</v>
      </c>
      <c r="Q57" s="187">
        <v>500</v>
      </c>
      <c r="R57" s="188">
        <v>-928.79</v>
      </c>
      <c r="S57" s="193">
        <v>-428.78999999999996</v>
      </c>
      <c r="T57" s="187">
        <v>500</v>
      </c>
      <c r="U57" s="188">
        <v>0</v>
      </c>
      <c r="V57" s="193">
        <v>500</v>
      </c>
      <c r="W57" s="187">
        <v>500</v>
      </c>
      <c r="X57" s="188">
        <v>-337</v>
      </c>
      <c r="Y57" s="193">
        <v>163</v>
      </c>
      <c r="Z57" s="187">
        <v>500</v>
      </c>
      <c r="AA57" s="188">
        <v>-199</v>
      </c>
      <c r="AB57" s="188">
        <v>301</v>
      </c>
      <c r="AC57" s="187">
        <v>500</v>
      </c>
      <c r="AD57" s="188">
        <v>-612</v>
      </c>
      <c r="AE57" s="193">
        <v>-112</v>
      </c>
      <c r="AF57" s="187">
        <v>500</v>
      </c>
      <c r="AG57" s="188">
        <v>-564.19000000000005</v>
      </c>
      <c r="AH57" s="193">
        <v>-64.190000000000055</v>
      </c>
      <c r="AI57" s="187">
        <v>200</v>
      </c>
      <c r="AJ57" s="188">
        <v>-599</v>
      </c>
      <c r="AK57" s="193">
        <v>-399</v>
      </c>
      <c r="AL57" s="225">
        <v>500</v>
      </c>
      <c r="AM57" s="68">
        <v>-967</v>
      </c>
      <c r="AN57" s="17">
        <v>-467</v>
      </c>
      <c r="AO57" s="225">
        <v>500</v>
      </c>
      <c r="AP57" s="68">
        <v>-524.4</v>
      </c>
      <c r="AQ57" s="17">
        <v>-24.399999999999977</v>
      </c>
      <c r="AR57" s="188">
        <v>600</v>
      </c>
      <c r="AS57" s="188">
        <v>-1448</v>
      </c>
      <c r="AT57" s="193">
        <v>-848</v>
      </c>
    </row>
    <row r="58" spans="4:46">
      <c r="D58" s="343" t="s">
        <v>21</v>
      </c>
      <c r="E58" s="187">
        <f t="shared" si="29"/>
        <v>6000</v>
      </c>
      <c r="F58" s="188">
        <f t="shared" si="30"/>
        <v>-8410</v>
      </c>
      <c r="G58" s="188">
        <f t="shared" si="31"/>
        <v>-2410</v>
      </c>
      <c r="H58" s="504">
        <f t="shared" si="33"/>
        <v>1.4016666666666666</v>
      </c>
      <c r="I58" s="342"/>
      <c r="J58" s="493" t="s">
        <v>21</v>
      </c>
      <c r="K58" s="187">
        <v>500</v>
      </c>
      <c r="L58" s="188">
        <v>-705</v>
      </c>
      <c r="M58" s="193">
        <v>-205</v>
      </c>
      <c r="N58" s="187">
        <v>500</v>
      </c>
      <c r="O58" s="188">
        <v>-560</v>
      </c>
      <c r="P58" s="193">
        <v>-60</v>
      </c>
      <c r="Q58" s="187">
        <v>500</v>
      </c>
      <c r="R58" s="188">
        <v>-700</v>
      </c>
      <c r="S58" s="193">
        <v>-200</v>
      </c>
      <c r="T58" s="187">
        <v>500</v>
      </c>
      <c r="U58" s="188">
        <v>-657</v>
      </c>
      <c r="V58" s="193">
        <v>-157</v>
      </c>
      <c r="W58" s="187">
        <v>500</v>
      </c>
      <c r="X58" s="188">
        <v>-507</v>
      </c>
      <c r="Y58" s="193">
        <v>-7</v>
      </c>
      <c r="Z58" s="187">
        <v>500</v>
      </c>
      <c r="AA58" s="188">
        <v>-607</v>
      </c>
      <c r="AB58" s="188">
        <v>-107</v>
      </c>
      <c r="AC58" s="187">
        <v>500</v>
      </c>
      <c r="AD58" s="188">
        <v>-607</v>
      </c>
      <c r="AE58" s="193">
        <v>-107</v>
      </c>
      <c r="AF58" s="187">
        <v>500</v>
      </c>
      <c r="AG58" s="188">
        <v>-1084</v>
      </c>
      <c r="AH58" s="193">
        <v>-584</v>
      </c>
      <c r="AI58" s="187">
        <v>500</v>
      </c>
      <c r="AJ58" s="188">
        <v>-452</v>
      </c>
      <c r="AK58" s="193">
        <v>48</v>
      </c>
      <c r="AL58" s="225">
        <v>500</v>
      </c>
      <c r="AM58" s="68">
        <v>-813</v>
      </c>
      <c r="AN58" s="17">
        <v>-313</v>
      </c>
      <c r="AO58" s="225">
        <v>500</v>
      </c>
      <c r="AP58" s="68">
        <v>-1169</v>
      </c>
      <c r="AQ58" s="17">
        <v>-669</v>
      </c>
      <c r="AR58" s="187">
        <v>500</v>
      </c>
      <c r="AS58" s="188">
        <v>-549</v>
      </c>
      <c r="AT58" s="193">
        <v>-49</v>
      </c>
    </row>
    <row r="59" spans="4:46">
      <c r="D59" s="343" t="s">
        <v>22</v>
      </c>
      <c r="E59" s="187">
        <f t="shared" si="29"/>
        <v>49905</v>
      </c>
      <c r="F59" s="188">
        <f t="shared" si="30"/>
        <v>-48773</v>
      </c>
      <c r="G59" s="188">
        <f t="shared" si="31"/>
        <v>1132</v>
      </c>
      <c r="H59" s="504">
        <f t="shared" si="33"/>
        <v>0.97731690211401667</v>
      </c>
      <c r="I59" s="342"/>
      <c r="J59" s="493" t="s">
        <v>22</v>
      </c>
      <c r="K59" s="187">
        <v>4200</v>
      </c>
      <c r="L59" s="188">
        <v>-4035</v>
      </c>
      <c r="M59" s="193">
        <v>165</v>
      </c>
      <c r="N59" s="187">
        <v>4035</v>
      </c>
      <c r="O59" s="188">
        <v>-4035</v>
      </c>
      <c r="P59" s="193">
        <v>0</v>
      </c>
      <c r="Q59" s="187">
        <v>4035</v>
      </c>
      <c r="R59" s="188">
        <v>-4035</v>
      </c>
      <c r="S59" s="193">
        <v>0</v>
      </c>
      <c r="T59" s="187">
        <v>4035</v>
      </c>
      <c r="U59" s="188">
        <v>-4035</v>
      </c>
      <c r="V59" s="193">
        <v>0</v>
      </c>
      <c r="W59" s="187">
        <v>4200</v>
      </c>
      <c r="X59" s="188">
        <v>-4035</v>
      </c>
      <c r="Y59" s="193">
        <v>165</v>
      </c>
      <c r="Z59" s="187">
        <v>4200</v>
      </c>
      <c r="AA59" s="188">
        <v>-4035</v>
      </c>
      <c r="AB59" s="188">
        <v>165</v>
      </c>
      <c r="AC59" s="187">
        <v>4200</v>
      </c>
      <c r="AD59" s="188">
        <v>-4135</v>
      </c>
      <c r="AE59" s="193">
        <v>65</v>
      </c>
      <c r="AF59" s="187">
        <v>4200</v>
      </c>
      <c r="AG59" s="188">
        <v>-4135</v>
      </c>
      <c r="AH59" s="193">
        <v>65</v>
      </c>
      <c r="AI59" s="187">
        <v>4200</v>
      </c>
      <c r="AJ59" s="188">
        <v>-3985</v>
      </c>
      <c r="AK59" s="193">
        <v>215</v>
      </c>
      <c r="AL59" s="225">
        <v>4200</v>
      </c>
      <c r="AM59" s="68">
        <v>-4085</v>
      </c>
      <c r="AN59" s="17">
        <v>115</v>
      </c>
      <c r="AO59" s="225">
        <v>4200</v>
      </c>
      <c r="AP59" s="68">
        <v>-4085</v>
      </c>
      <c r="AQ59" s="17">
        <v>115</v>
      </c>
      <c r="AR59" s="188">
        <v>4200</v>
      </c>
      <c r="AS59" s="188">
        <v>-4138</v>
      </c>
      <c r="AT59" s="193">
        <v>62</v>
      </c>
    </row>
    <row r="60" spans="4:46">
      <c r="D60" s="343" t="s">
        <v>23</v>
      </c>
      <c r="E60" s="187">
        <f t="shared" si="29"/>
        <v>4180.9999999999991</v>
      </c>
      <c r="F60" s="188">
        <f t="shared" si="30"/>
        <v>-4603.3</v>
      </c>
      <c r="G60" s="188">
        <f t="shared" si="31"/>
        <v>-422.30000000000109</v>
      </c>
      <c r="H60" s="504">
        <f t="shared" si="33"/>
        <v>1.1010045443673766</v>
      </c>
      <c r="I60" s="342"/>
      <c r="J60" s="493" t="s">
        <v>23</v>
      </c>
      <c r="K60" s="187">
        <v>150</v>
      </c>
      <c r="L60" s="188">
        <v>0</v>
      </c>
      <c r="M60" s="193">
        <v>150</v>
      </c>
      <c r="N60" s="187">
        <v>0</v>
      </c>
      <c r="O60" s="188">
        <v>0</v>
      </c>
      <c r="P60" s="193">
        <v>0</v>
      </c>
      <c r="Q60" s="187">
        <v>1800</v>
      </c>
      <c r="R60" s="188">
        <v>-1756.05</v>
      </c>
      <c r="S60" s="193">
        <v>43.950000000000045</v>
      </c>
      <c r="T60" s="187">
        <v>0</v>
      </c>
      <c r="U60" s="188">
        <v>0</v>
      </c>
      <c r="V60" s="193">
        <v>0</v>
      </c>
      <c r="W60" s="187">
        <v>500</v>
      </c>
      <c r="X60" s="188">
        <v>-512.25</v>
      </c>
      <c r="Y60" s="193">
        <v>-12.25</v>
      </c>
      <c r="Z60" s="187">
        <v>100</v>
      </c>
      <c r="AA60" s="188">
        <v>-265</v>
      </c>
      <c r="AB60" s="188">
        <v>-165</v>
      </c>
      <c r="AC60" s="187">
        <v>100</v>
      </c>
      <c r="AD60" s="188">
        <v>-60</v>
      </c>
      <c r="AE60" s="193">
        <v>40</v>
      </c>
      <c r="AF60" s="187">
        <v>826.2</v>
      </c>
      <c r="AG60" s="188">
        <v>-1079</v>
      </c>
      <c r="AH60" s="193">
        <v>-252.79999999999995</v>
      </c>
      <c r="AI60" s="187">
        <v>176.2</v>
      </c>
      <c r="AJ60" s="188">
        <v>-531</v>
      </c>
      <c r="AK60" s="193">
        <v>-354.8</v>
      </c>
      <c r="AL60" s="225">
        <v>176.2</v>
      </c>
      <c r="AM60" s="68">
        <v>-400</v>
      </c>
      <c r="AN60" s="17">
        <v>-223.8</v>
      </c>
      <c r="AO60" s="225">
        <v>176.2</v>
      </c>
      <c r="AP60" s="68">
        <v>0</v>
      </c>
      <c r="AQ60" s="17">
        <v>176.2</v>
      </c>
      <c r="AR60" s="188">
        <v>176.2</v>
      </c>
      <c r="AS60" s="188">
        <v>0</v>
      </c>
      <c r="AT60" s="193">
        <v>176.2</v>
      </c>
    </row>
    <row r="61" spans="4:46">
      <c r="D61" s="343" t="s">
        <v>24</v>
      </c>
      <c r="E61" s="187">
        <f t="shared" si="29"/>
        <v>3550</v>
      </c>
      <c r="F61" s="188">
        <f t="shared" si="30"/>
        <v>-9116</v>
      </c>
      <c r="G61" s="188">
        <f t="shared" si="31"/>
        <v>-5566</v>
      </c>
      <c r="H61" s="504">
        <f t="shared" si="33"/>
        <v>2.5678873239436619</v>
      </c>
      <c r="I61" s="342"/>
      <c r="J61" s="493" t="s">
        <v>24</v>
      </c>
      <c r="K61" s="187">
        <v>200</v>
      </c>
      <c r="L61" s="188">
        <v>-426</v>
      </c>
      <c r="M61" s="193">
        <v>-226</v>
      </c>
      <c r="N61" s="187">
        <v>200</v>
      </c>
      <c r="O61" s="188">
        <v>-430</v>
      </c>
      <c r="P61" s="193">
        <v>-230</v>
      </c>
      <c r="Q61" s="187">
        <v>200</v>
      </c>
      <c r="R61" s="188">
        <v>-200</v>
      </c>
      <c r="S61" s="193">
        <v>0</v>
      </c>
      <c r="T61" s="187">
        <v>250</v>
      </c>
      <c r="U61" s="188">
        <v>-250</v>
      </c>
      <c r="V61" s="193">
        <v>0</v>
      </c>
      <c r="W61" s="187">
        <v>250</v>
      </c>
      <c r="X61" s="188">
        <v>-200</v>
      </c>
      <c r="Y61" s="193">
        <v>50</v>
      </c>
      <c r="Z61" s="187">
        <v>1150</v>
      </c>
      <c r="AA61" s="188">
        <v>-1150</v>
      </c>
      <c r="AB61" s="188">
        <v>0</v>
      </c>
      <c r="AC61" s="187">
        <v>250</v>
      </c>
      <c r="AD61" s="188">
        <v>-200</v>
      </c>
      <c r="AE61" s="193">
        <v>50</v>
      </c>
      <c r="AF61" s="187">
        <v>250</v>
      </c>
      <c r="AG61" s="188">
        <v>-405</v>
      </c>
      <c r="AH61" s="193">
        <v>-155</v>
      </c>
      <c r="AI61" s="187">
        <v>200</v>
      </c>
      <c r="AJ61" s="188">
        <v>-1030</v>
      </c>
      <c r="AK61" s="193">
        <v>-830</v>
      </c>
      <c r="AL61" s="225">
        <v>200</v>
      </c>
      <c r="AM61" s="68">
        <v>-200</v>
      </c>
      <c r="AN61" s="17">
        <v>0</v>
      </c>
      <c r="AO61" s="225">
        <v>200</v>
      </c>
      <c r="AP61" s="68">
        <v>-425</v>
      </c>
      <c r="AQ61" s="17">
        <v>-225</v>
      </c>
      <c r="AR61" s="188">
        <v>200</v>
      </c>
      <c r="AS61" s="188">
        <v>-4200</v>
      </c>
      <c r="AT61" s="193">
        <v>-4000</v>
      </c>
    </row>
    <row r="62" spans="4:46">
      <c r="D62" s="343" t="s">
        <v>25</v>
      </c>
      <c r="E62" s="187">
        <f t="shared" si="29"/>
        <v>3073</v>
      </c>
      <c r="F62" s="188">
        <f t="shared" si="30"/>
        <v>-2322</v>
      </c>
      <c r="G62" s="188">
        <f t="shared" si="31"/>
        <v>751</v>
      </c>
      <c r="H62" s="504">
        <f t="shared" si="33"/>
        <v>0.7556134070940449</v>
      </c>
      <c r="I62" s="342"/>
      <c r="J62" s="493" t="s">
        <v>25</v>
      </c>
      <c r="K62" s="187">
        <v>200</v>
      </c>
      <c r="L62" s="188">
        <v>-360</v>
      </c>
      <c r="M62" s="193">
        <v>-160</v>
      </c>
      <c r="N62" s="187">
        <v>200</v>
      </c>
      <c r="O62" s="188">
        <v>-265</v>
      </c>
      <c r="P62" s="193">
        <v>-65</v>
      </c>
      <c r="Q62" s="187">
        <v>250</v>
      </c>
      <c r="R62" s="188">
        <v>-130</v>
      </c>
      <c r="S62" s="193">
        <v>120</v>
      </c>
      <c r="T62" s="187">
        <v>250</v>
      </c>
      <c r="U62" s="188">
        <v>-135</v>
      </c>
      <c r="V62" s="193">
        <v>115</v>
      </c>
      <c r="W62" s="187">
        <v>0</v>
      </c>
      <c r="X62" s="188">
        <v>0</v>
      </c>
      <c r="Y62" s="193">
        <v>0</v>
      </c>
      <c r="Z62" s="187">
        <v>50</v>
      </c>
      <c r="AA62" s="188">
        <v>0</v>
      </c>
      <c r="AB62" s="188">
        <v>50</v>
      </c>
      <c r="AC62" s="187">
        <v>500</v>
      </c>
      <c r="AD62" s="188">
        <v>0</v>
      </c>
      <c r="AE62" s="193">
        <v>500</v>
      </c>
      <c r="AF62" s="187">
        <v>523</v>
      </c>
      <c r="AG62" s="188">
        <v>-294</v>
      </c>
      <c r="AH62" s="193">
        <v>229</v>
      </c>
      <c r="AI62" s="187">
        <v>500</v>
      </c>
      <c r="AJ62" s="188">
        <v>-290</v>
      </c>
      <c r="AK62" s="193">
        <v>210</v>
      </c>
      <c r="AL62" s="225">
        <v>200</v>
      </c>
      <c r="AM62" s="68">
        <v>-738</v>
      </c>
      <c r="AN62" s="17">
        <v>-538</v>
      </c>
      <c r="AO62" s="225">
        <v>200</v>
      </c>
      <c r="AP62" s="68">
        <v>-110</v>
      </c>
      <c r="AQ62" s="17">
        <v>90</v>
      </c>
      <c r="AR62" s="188">
        <v>200</v>
      </c>
      <c r="AS62" s="188">
        <v>0</v>
      </c>
      <c r="AT62" s="193">
        <v>200</v>
      </c>
    </row>
    <row r="63" spans="4:46">
      <c r="D63" s="343" t="s">
        <v>26</v>
      </c>
      <c r="E63" s="187">
        <f t="shared" si="29"/>
        <v>4000</v>
      </c>
      <c r="F63" s="188">
        <f t="shared" si="30"/>
        <v>-3911.1</v>
      </c>
      <c r="G63" s="188">
        <f t="shared" si="31"/>
        <v>88.900000000000091</v>
      </c>
      <c r="H63" s="504">
        <f t="shared" si="33"/>
        <v>0.97777499999999995</v>
      </c>
      <c r="I63" s="342"/>
      <c r="J63" s="493" t="s">
        <v>26</v>
      </c>
      <c r="K63" s="187">
        <v>200</v>
      </c>
      <c r="L63" s="188">
        <v>-215</v>
      </c>
      <c r="M63" s="193">
        <v>-15</v>
      </c>
      <c r="N63" s="187">
        <v>200</v>
      </c>
      <c r="O63" s="188">
        <v>-680.1</v>
      </c>
      <c r="P63" s="193">
        <v>-480.1</v>
      </c>
      <c r="Q63" s="187">
        <v>200</v>
      </c>
      <c r="R63" s="188">
        <v>0</v>
      </c>
      <c r="S63" s="193">
        <v>200</v>
      </c>
      <c r="T63" s="187">
        <v>200</v>
      </c>
      <c r="U63" s="188">
        <v>-447</v>
      </c>
      <c r="V63" s="193">
        <v>-247</v>
      </c>
      <c r="W63" s="187">
        <v>200</v>
      </c>
      <c r="X63" s="188">
        <v>-325</v>
      </c>
      <c r="Y63" s="193">
        <v>-125</v>
      </c>
      <c r="Z63" s="187">
        <v>200</v>
      </c>
      <c r="AA63" s="188">
        <v>-325</v>
      </c>
      <c r="AB63" s="188">
        <v>-125</v>
      </c>
      <c r="AC63" s="187">
        <v>1000</v>
      </c>
      <c r="AD63" s="188">
        <v>-426</v>
      </c>
      <c r="AE63" s="193">
        <v>574</v>
      </c>
      <c r="AF63" s="187">
        <v>200</v>
      </c>
      <c r="AG63" s="188">
        <v>-136</v>
      </c>
      <c r="AH63" s="193">
        <v>64</v>
      </c>
      <c r="AI63" s="187">
        <v>400</v>
      </c>
      <c r="AJ63" s="188">
        <v>-371</v>
      </c>
      <c r="AK63" s="193">
        <v>29</v>
      </c>
      <c r="AL63" s="225">
        <v>400</v>
      </c>
      <c r="AM63" s="68">
        <v>-220</v>
      </c>
      <c r="AN63" s="17">
        <v>180</v>
      </c>
      <c r="AO63" s="225">
        <v>400</v>
      </c>
      <c r="AP63" s="68">
        <v>-691</v>
      </c>
      <c r="AQ63" s="17">
        <v>-291</v>
      </c>
      <c r="AR63" s="188">
        <v>400</v>
      </c>
      <c r="AS63" s="188">
        <v>-75</v>
      </c>
      <c r="AT63" s="193">
        <v>325</v>
      </c>
    </row>
    <row r="64" spans="4:46">
      <c r="D64" s="343" t="s">
        <v>27</v>
      </c>
      <c r="E64" s="187">
        <f t="shared" si="29"/>
        <v>920</v>
      </c>
      <c r="F64" s="188">
        <f t="shared" si="30"/>
        <v>-3036</v>
      </c>
      <c r="G64" s="188">
        <f t="shared" si="31"/>
        <v>-2116</v>
      </c>
      <c r="H64" s="504">
        <f t="shared" si="33"/>
        <v>3.3</v>
      </c>
      <c r="I64" s="342"/>
      <c r="J64" s="343" t="s">
        <v>27</v>
      </c>
      <c r="K64" s="187">
        <v>120</v>
      </c>
      <c r="L64" s="188">
        <v>-309</v>
      </c>
      <c r="M64" s="193">
        <v>-189</v>
      </c>
      <c r="N64" s="187">
        <v>0</v>
      </c>
      <c r="O64" s="188">
        <v>0</v>
      </c>
      <c r="P64" s="193">
        <v>0</v>
      </c>
      <c r="Q64" s="187">
        <v>0</v>
      </c>
      <c r="R64" s="188">
        <v>0</v>
      </c>
      <c r="S64" s="193">
        <v>0</v>
      </c>
      <c r="T64" s="187">
        <v>200</v>
      </c>
      <c r="U64" s="188">
        <v>-100</v>
      </c>
      <c r="V64" s="193">
        <v>100</v>
      </c>
      <c r="W64" s="187">
        <v>0</v>
      </c>
      <c r="X64" s="188">
        <v>0</v>
      </c>
      <c r="Y64" s="193">
        <v>0</v>
      </c>
      <c r="Z64" s="187">
        <v>0</v>
      </c>
      <c r="AA64" s="188">
        <v>-203</v>
      </c>
      <c r="AB64" s="188">
        <v>-203</v>
      </c>
      <c r="AC64" s="187">
        <v>200</v>
      </c>
      <c r="AD64" s="188">
        <v>-242</v>
      </c>
      <c r="AE64" s="188">
        <v>-42</v>
      </c>
      <c r="AF64" s="187">
        <v>200</v>
      </c>
      <c r="AG64" s="188">
        <v>-1034</v>
      </c>
      <c r="AH64" s="193">
        <v>-834</v>
      </c>
      <c r="AI64" s="187">
        <v>200</v>
      </c>
      <c r="AJ64" s="188">
        <v>-1148</v>
      </c>
      <c r="AK64" s="193">
        <v>-948</v>
      </c>
      <c r="AL64" s="225">
        <v>0</v>
      </c>
      <c r="AM64" s="68">
        <v>0</v>
      </c>
      <c r="AN64" s="17">
        <v>0</v>
      </c>
      <c r="AO64" s="225">
        <v>0</v>
      </c>
      <c r="AP64" s="68">
        <v>0</v>
      </c>
      <c r="AQ64" s="17">
        <v>0</v>
      </c>
      <c r="AR64" s="188">
        <v>0</v>
      </c>
      <c r="AS64" s="188">
        <v>0</v>
      </c>
      <c r="AT64" s="193">
        <v>0</v>
      </c>
    </row>
    <row r="65" spans="4:46">
      <c r="D65" s="440" t="s">
        <v>28</v>
      </c>
      <c r="E65" s="187">
        <f t="shared" si="29"/>
        <v>10106</v>
      </c>
      <c r="F65" s="188">
        <f t="shared" si="30"/>
        <v>-7446</v>
      </c>
      <c r="G65" s="188">
        <f t="shared" si="31"/>
        <v>2660</v>
      </c>
      <c r="H65" s="505">
        <f t="shared" si="33"/>
        <v>0.73679002572729069</v>
      </c>
      <c r="I65" s="342"/>
      <c r="J65" s="440" t="str">
        <f>D65</f>
        <v>Baby Sitter</v>
      </c>
      <c r="K65" s="147">
        <v>800</v>
      </c>
      <c r="L65" s="148">
        <v>0</v>
      </c>
      <c r="M65" s="149">
        <v>800</v>
      </c>
      <c r="N65" s="147">
        <v>800</v>
      </c>
      <c r="O65" s="148">
        <v>0</v>
      </c>
      <c r="P65" s="149">
        <v>800</v>
      </c>
      <c r="Q65" s="148">
        <v>800</v>
      </c>
      <c r="R65" s="148">
        <v>0</v>
      </c>
      <c r="S65" s="149">
        <v>800</v>
      </c>
      <c r="T65" s="147">
        <v>1006</v>
      </c>
      <c r="U65" s="148">
        <v>-1006</v>
      </c>
      <c r="V65" s="149">
        <v>0</v>
      </c>
      <c r="W65" s="147">
        <v>900</v>
      </c>
      <c r="X65" s="148">
        <v>-780</v>
      </c>
      <c r="Y65" s="149">
        <v>120</v>
      </c>
      <c r="Z65" s="147">
        <v>900</v>
      </c>
      <c r="AA65" s="148">
        <v>-780</v>
      </c>
      <c r="AB65" s="148">
        <v>120</v>
      </c>
      <c r="AC65" s="147">
        <v>800</v>
      </c>
      <c r="AD65" s="148">
        <v>-780</v>
      </c>
      <c r="AE65" s="148">
        <v>20</v>
      </c>
      <c r="AF65" s="187">
        <v>900</v>
      </c>
      <c r="AG65" s="188">
        <v>-780</v>
      </c>
      <c r="AH65" s="193">
        <v>120</v>
      </c>
      <c r="AI65" s="187">
        <v>800</v>
      </c>
      <c r="AJ65" s="188">
        <v>-780</v>
      </c>
      <c r="AK65" s="193">
        <v>20</v>
      </c>
      <c r="AL65" s="225">
        <v>800</v>
      </c>
      <c r="AM65" s="68">
        <v>-780</v>
      </c>
      <c r="AN65" s="17">
        <v>20</v>
      </c>
      <c r="AO65" s="225">
        <v>800</v>
      </c>
      <c r="AP65" s="68">
        <v>-880</v>
      </c>
      <c r="AQ65" s="17">
        <v>-80</v>
      </c>
      <c r="AR65" s="188">
        <v>800</v>
      </c>
      <c r="AS65" s="188">
        <v>-880</v>
      </c>
      <c r="AT65" s="193">
        <v>-80</v>
      </c>
    </row>
    <row r="66" spans="4:46">
      <c r="D66" s="495" t="s">
        <v>29</v>
      </c>
      <c r="E66" s="545">
        <f>SUM(E45:E64)</f>
        <v>137026</v>
      </c>
      <c r="F66" s="546">
        <f>SUM(F45:F65)</f>
        <v>-160182.52000000002</v>
      </c>
      <c r="G66" s="547">
        <f>SUM(G45:G64)</f>
        <v>-15710.520000000002</v>
      </c>
      <c r="H66" s="342"/>
      <c r="I66" s="342"/>
      <c r="J66" s="495" t="s">
        <v>29</v>
      </c>
      <c r="K66" s="147">
        <v>13675</v>
      </c>
      <c r="L66" s="148">
        <v>-13937.8</v>
      </c>
      <c r="M66" s="149">
        <v>-262.79999999999995</v>
      </c>
      <c r="N66" s="147">
        <v>11123</v>
      </c>
      <c r="O66" s="148">
        <v>-10793.27</v>
      </c>
      <c r="P66" s="149">
        <v>329.72999999999979</v>
      </c>
      <c r="Q66" s="148">
        <v>12540</v>
      </c>
      <c r="R66" s="148">
        <v>-13633.329999999998</v>
      </c>
      <c r="S66" s="149">
        <v>-1093.33</v>
      </c>
      <c r="T66" s="147">
        <v>11216</v>
      </c>
      <c r="U66" s="148">
        <v>-11287.18</v>
      </c>
      <c r="V66" s="149">
        <v>-71.180000000000064</v>
      </c>
      <c r="W66" s="147">
        <v>11705</v>
      </c>
      <c r="X66" s="148">
        <v>-12070.630000000001</v>
      </c>
      <c r="Y66" s="149">
        <v>-365.63000000000011</v>
      </c>
      <c r="Z66" s="147">
        <v>13488</v>
      </c>
      <c r="AA66" s="148">
        <v>-14038.45</v>
      </c>
      <c r="AB66" s="149">
        <v>-550.45000000000005</v>
      </c>
      <c r="AC66" s="147">
        <v>12975</v>
      </c>
      <c r="AD66" s="148">
        <v>-12592.14</v>
      </c>
      <c r="AE66" s="148">
        <v>1273.54</v>
      </c>
      <c r="AF66" s="496">
        <v>13305.2</v>
      </c>
      <c r="AG66" s="497">
        <v>-15387.230000000001</v>
      </c>
      <c r="AH66" s="498">
        <v>-2082.0300000000002</v>
      </c>
      <c r="AI66" s="499">
        <v>11281.2</v>
      </c>
      <c r="AJ66" s="500">
        <v>-14157.7</v>
      </c>
      <c r="AK66" s="501">
        <v>-2876.5</v>
      </c>
      <c r="AL66" s="232">
        <v>11411.2</v>
      </c>
      <c r="AM66" s="233">
        <v>-13006.79</v>
      </c>
      <c r="AN66" s="234">
        <v>-1595.59</v>
      </c>
      <c r="AO66" s="499">
        <v>11531.2</v>
      </c>
      <c r="AP66" s="500">
        <v>-13529</v>
      </c>
      <c r="AQ66" s="501">
        <v>-1997.8</v>
      </c>
      <c r="AR66" s="499">
        <v>12881.2</v>
      </c>
      <c r="AS66" s="500">
        <v>-15749</v>
      </c>
      <c r="AT66" s="501">
        <v>-2867.8</v>
      </c>
    </row>
    <row r="67" spans="4:46" ht="12.75" customHeight="1" outlineLevel="1">
      <c r="E67" s="705">
        <v>2024</v>
      </c>
      <c r="F67" s="706"/>
      <c r="G67" s="707"/>
      <c r="J67" s="58">
        <v>2024</v>
      </c>
      <c r="K67" s="702">
        <v>45292</v>
      </c>
      <c r="L67" s="703"/>
      <c r="M67" s="704"/>
      <c r="N67" s="702">
        <v>45323</v>
      </c>
      <c r="O67" s="703"/>
      <c r="P67" s="704"/>
      <c r="Q67" s="702">
        <v>45352</v>
      </c>
      <c r="R67" s="708"/>
      <c r="S67" s="709"/>
      <c r="T67" s="702">
        <v>45383</v>
      </c>
      <c r="U67" s="703"/>
      <c r="V67" s="704"/>
      <c r="W67" s="702">
        <v>45413</v>
      </c>
      <c r="X67" s="708"/>
      <c r="Y67" s="709"/>
      <c r="Z67" s="702">
        <v>45444</v>
      </c>
      <c r="AA67" s="703"/>
      <c r="AB67" s="704"/>
      <c r="AC67" s="702">
        <v>45474</v>
      </c>
      <c r="AD67" s="708"/>
      <c r="AE67" s="709"/>
      <c r="AF67" s="702">
        <v>45505</v>
      </c>
      <c r="AG67" s="703"/>
      <c r="AH67" s="704"/>
      <c r="AI67" s="702">
        <v>45536</v>
      </c>
      <c r="AJ67" s="703"/>
      <c r="AK67" s="704"/>
      <c r="AL67" s="702">
        <v>45566</v>
      </c>
      <c r="AM67" s="703"/>
      <c r="AN67" s="704"/>
      <c r="AO67" s="702">
        <v>45597</v>
      </c>
      <c r="AP67" s="703"/>
      <c r="AQ67" s="704"/>
      <c r="AR67" s="702">
        <v>45627</v>
      </c>
      <c r="AS67" s="703"/>
      <c r="AT67" s="704"/>
    </row>
    <row r="68" spans="4:46" outlineLevel="1">
      <c r="D68" s="106" t="s">
        <v>7</v>
      </c>
      <c r="E68" s="258" t="s">
        <v>60</v>
      </c>
      <c r="F68" s="259" t="s">
        <v>61</v>
      </c>
      <c r="G68" s="260" t="s">
        <v>62</v>
      </c>
      <c r="H68" s="63" t="s">
        <v>73</v>
      </c>
      <c r="J68" s="106" t="s">
        <v>7</v>
      </c>
      <c r="K68" s="60" t="s">
        <v>60</v>
      </c>
      <c r="L68" s="61" t="s">
        <v>61</v>
      </c>
      <c r="M68" s="62" t="s">
        <v>62</v>
      </c>
      <c r="N68" s="60" t="s">
        <v>60</v>
      </c>
      <c r="O68" s="61" t="s">
        <v>61</v>
      </c>
      <c r="P68" s="61" t="s">
        <v>62</v>
      </c>
      <c r="Q68" s="60" t="s">
        <v>60</v>
      </c>
      <c r="R68" s="61" t="s">
        <v>61</v>
      </c>
      <c r="S68" s="62" t="s">
        <v>62</v>
      </c>
      <c r="T68" s="60" t="s">
        <v>60</v>
      </c>
      <c r="U68" s="61" t="s">
        <v>61</v>
      </c>
      <c r="V68" s="62" t="s">
        <v>62</v>
      </c>
      <c r="W68" s="60" t="s">
        <v>60</v>
      </c>
      <c r="X68" s="61" t="s">
        <v>61</v>
      </c>
      <c r="Y68" s="62" t="s">
        <v>62</v>
      </c>
      <c r="Z68" s="60" t="s">
        <v>60</v>
      </c>
      <c r="AA68" s="61" t="s">
        <v>61</v>
      </c>
      <c r="AB68" s="62" t="s">
        <v>62</v>
      </c>
      <c r="AC68" s="60" t="s">
        <v>60</v>
      </c>
      <c r="AD68" s="61" t="s">
        <v>61</v>
      </c>
      <c r="AE68" s="62" t="s">
        <v>62</v>
      </c>
      <c r="AF68" s="60" t="s">
        <v>60</v>
      </c>
      <c r="AG68" s="61" t="s">
        <v>61</v>
      </c>
      <c r="AH68" s="62" t="s">
        <v>62</v>
      </c>
      <c r="AI68" s="60" t="s">
        <v>60</v>
      </c>
      <c r="AJ68" s="61" t="s">
        <v>61</v>
      </c>
      <c r="AK68" s="62" t="s">
        <v>62</v>
      </c>
      <c r="AL68" s="60" t="s">
        <v>60</v>
      </c>
      <c r="AM68" s="61" t="s">
        <v>61</v>
      </c>
      <c r="AN68" s="62" t="s">
        <v>62</v>
      </c>
      <c r="AO68" s="60" t="s">
        <v>60</v>
      </c>
      <c r="AP68" s="61" t="s">
        <v>61</v>
      </c>
      <c r="AQ68" s="62" t="s">
        <v>62</v>
      </c>
      <c r="AR68" s="60" t="s">
        <v>60</v>
      </c>
      <c r="AS68" s="61" t="s">
        <v>61</v>
      </c>
      <c r="AT68" s="62" t="s">
        <v>62</v>
      </c>
    </row>
    <row r="69" spans="4:46" outlineLevel="1">
      <c r="D69" s="79" t="s">
        <v>8</v>
      </c>
      <c r="E69" s="267">
        <f t="shared" ref="E69:E89" si="34">K69+N69+Q69+T69+W69+Z69+AC69+AF69+AI69+AL69+AO69+AR69</f>
        <v>4200</v>
      </c>
      <c r="F69" s="65">
        <f t="shared" ref="F69:F89" si="35">L69+O69+R69+U69+X69+AA69+AD69+AG69+AJ69+AM69+AP69+AS69</f>
        <v>-3993.9400000000005</v>
      </c>
      <c r="G69" s="65">
        <f>E69+F69</f>
        <v>206.05999999999949</v>
      </c>
      <c r="H69" s="291">
        <f>ABS(F69)/E69</f>
        <v>0.95093809523809536</v>
      </c>
      <c r="J69" s="64" t="s">
        <v>8</v>
      </c>
      <c r="K69" s="65">
        <v>350</v>
      </c>
      <c r="L69" s="65">
        <v>-311.48</v>
      </c>
      <c r="M69" s="77">
        <v>38.519999999999982</v>
      </c>
      <c r="N69" s="65">
        <v>350</v>
      </c>
      <c r="O69" s="65">
        <v>-214</v>
      </c>
      <c r="P69" s="77">
        <v>136</v>
      </c>
      <c r="Q69" s="65">
        <v>350</v>
      </c>
      <c r="R69" s="65">
        <v>-323</v>
      </c>
      <c r="S69" s="77">
        <v>27</v>
      </c>
      <c r="T69" s="65">
        <v>350</v>
      </c>
      <c r="U69" s="65">
        <v>-227.49</v>
      </c>
      <c r="V69" s="77">
        <v>122.50999999999999</v>
      </c>
      <c r="W69" s="65">
        <v>350</v>
      </c>
      <c r="X69" s="65">
        <v>-335</v>
      </c>
      <c r="Y69" s="77">
        <v>15</v>
      </c>
      <c r="Z69" s="65">
        <v>350</v>
      </c>
      <c r="AA69" s="65">
        <v>-471</v>
      </c>
      <c r="AB69" s="65">
        <v>-121</v>
      </c>
      <c r="AC69" s="65">
        <v>350</v>
      </c>
      <c r="AD69" s="65">
        <v>-337</v>
      </c>
      <c r="AE69" s="77">
        <v>13</v>
      </c>
      <c r="AF69" s="65">
        <v>350</v>
      </c>
      <c r="AG69" s="65">
        <v>-262.97000000000003</v>
      </c>
      <c r="AH69" s="77">
        <v>87.029999999999973</v>
      </c>
      <c r="AI69" s="65">
        <v>350</v>
      </c>
      <c r="AJ69" s="65">
        <v>-395</v>
      </c>
      <c r="AK69" s="77">
        <v>-45</v>
      </c>
      <c r="AL69" s="65">
        <v>350</v>
      </c>
      <c r="AM69" s="65">
        <v>-479</v>
      </c>
      <c r="AN69" s="77">
        <v>350</v>
      </c>
      <c r="AO69" s="65">
        <v>350</v>
      </c>
      <c r="AP69" s="65">
        <v>-265</v>
      </c>
      <c r="AQ69" s="77">
        <v>85</v>
      </c>
      <c r="AR69" s="65">
        <v>350</v>
      </c>
      <c r="AS69" s="65">
        <v>-373</v>
      </c>
      <c r="AT69" s="77">
        <v>-23</v>
      </c>
    </row>
    <row r="70" spans="4:46" outlineLevel="1">
      <c r="D70" s="18" t="s">
        <v>9</v>
      </c>
      <c r="E70" s="225">
        <f t="shared" si="34"/>
        <v>3240</v>
      </c>
      <c r="F70" s="68">
        <f t="shared" si="35"/>
        <v>-4515</v>
      </c>
      <c r="G70" s="68">
        <f t="shared" ref="G70:G89" si="36">E70+F70</f>
        <v>-1275</v>
      </c>
      <c r="H70" s="292">
        <f t="shared" ref="H70:H89" si="37">ABS(F70)/E70</f>
        <v>1.3935185185185186</v>
      </c>
      <c r="J70" s="67" t="s">
        <v>9</v>
      </c>
      <c r="K70" s="225">
        <v>270</v>
      </c>
      <c r="L70" s="68">
        <v>-270</v>
      </c>
      <c r="M70" s="17">
        <v>0</v>
      </c>
      <c r="N70" s="225">
        <v>270</v>
      </c>
      <c r="O70" s="68">
        <v>-1220</v>
      </c>
      <c r="P70" s="17">
        <v>-950</v>
      </c>
      <c r="Q70" s="225">
        <v>270</v>
      </c>
      <c r="R70" s="68">
        <v>-270</v>
      </c>
      <c r="S70" s="17">
        <v>0</v>
      </c>
      <c r="T70" s="225">
        <v>270</v>
      </c>
      <c r="U70" s="68">
        <v>-270</v>
      </c>
      <c r="V70" s="17">
        <v>0</v>
      </c>
      <c r="W70" s="225">
        <v>270</v>
      </c>
      <c r="X70" s="68">
        <v>-270</v>
      </c>
      <c r="Y70" s="17">
        <v>0</v>
      </c>
      <c r="Z70" s="225">
        <v>270</v>
      </c>
      <c r="AA70" s="68">
        <v>-269</v>
      </c>
      <c r="AB70" s="68">
        <v>1</v>
      </c>
      <c r="AC70" s="225">
        <v>270</v>
      </c>
      <c r="AD70" s="68">
        <v>-269</v>
      </c>
      <c r="AE70" s="17">
        <v>1</v>
      </c>
      <c r="AF70" s="225">
        <v>270</v>
      </c>
      <c r="AG70" s="68">
        <v>-352</v>
      </c>
      <c r="AH70" s="17">
        <v>-82</v>
      </c>
      <c r="AI70" s="225">
        <v>270</v>
      </c>
      <c r="AJ70" s="68">
        <v>-332</v>
      </c>
      <c r="AK70" s="17">
        <v>-62</v>
      </c>
      <c r="AL70" s="225">
        <v>270</v>
      </c>
      <c r="AM70" s="68">
        <v>-335</v>
      </c>
      <c r="AN70" s="17">
        <v>270</v>
      </c>
      <c r="AO70" s="225">
        <v>270</v>
      </c>
      <c r="AP70" s="68">
        <v>-332</v>
      </c>
      <c r="AQ70" s="17">
        <v>-62</v>
      </c>
      <c r="AR70" s="68">
        <v>270</v>
      </c>
      <c r="AS70" s="68">
        <v>-326</v>
      </c>
      <c r="AT70" s="17">
        <v>-56</v>
      </c>
    </row>
    <row r="71" spans="4:46" outlineLevel="1">
      <c r="D71" s="18" t="s">
        <v>10</v>
      </c>
      <c r="E71" s="225">
        <f t="shared" si="34"/>
        <v>160</v>
      </c>
      <c r="F71" s="68">
        <f t="shared" si="35"/>
        <v>0</v>
      </c>
      <c r="G71" s="68">
        <f t="shared" si="36"/>
        <v>160</v>
      </c>
      <c r="H71" s="292">
        <f t="shared" si="37"/>
        <v>0</v>
      </c>
      <c r="J71" s="67" t="s">
        <v>10</v>
      </c>
      <c r="K71" s="225">
        <v>20</v>
      </c>
      <c r="L71" s="68">
        <v>0</v>
      </c>
      <c r="M71" s="17">
        <v>20</v>
      </c>
      <c r="N71" s="225">
        <v>20</v>
      </c>
      <c r="O71" s="68">
        <v>0</v>
      </c>
      <c r="P71" s="17">
        <v>20</v>
      </c>
      <c r="Q71" s="225">
        <v>20</v>
      </c>
      <c r="R71" s="68">
        <v>0</v>
      </c>
      <c r="S71" s="17">
        <v>20</v>
      </c>
      <c r="T71" s="225">
        <v>20</v>
      </c>
      <c r="U71" s="68">
        <v>0</v>
      </c>
      <c r="V71" s="17">
        <v>20</v>
      </c>
      <c r="W71" s="225">
        <v>20</v>
      </c>
      <c r="X71" s="68">
        <v>0</v>
      </c>
      <c r="Y71" s="17">
        <v>20</v>
      </c>
      <c r="Z71" s="225">
        <v>20</v>
      </c>
      <c r="AA71" s="68">
        <v>0</v>
      </c>
      <c r="AB71" s="68">
        <v>20</v>
      </c>
      <c r="AC71" s="225">
        <v>20</v>
      </c>
      <c r="AD71" s="68">
        <v>0</v>
      </c>
      <c r="AE71" s="17">
        <v>20</v>
      </c>
      <c r="AF71" s="225">
        <v>20</v>
      </c>
      <c r="AG71" s="68">
        <v>0</v>
      </c>
      <c r="AH71" s="17">
        <v>20</v>
      </c>
      <c r="AI71" s="225">
        <v>0</v>
      </c>
      <c r="AJ71" s="68">
        <v>0</v>
      </c>
      <c r="AK71" s="17">
        <v>0</v>
      </c>
      <c r="AL71" s="225">
        <v>0</v>
      </c>
      <c r="AM71" s="68">
        <v>0</v>
      </c>
      <c r="AN71" s="17">
        <v>0</v>
      </c>
      <c r="AO71" s="225">
        <v>0</v>
      </c>
      <c r="AP71" s="68">
        <v>0</v>
      </c>
      <c r="AQ71" s="17">
        <v>0</v>
      </c>
      <c r="AR71" s="68">
        <v>0</v>
      </c>
      <c r="AS71" s="68">
        <v>0</v>
      </c>
      <c r="AT71" s="17">
        <v>0</v>
      </c>
    </row>
    <row r="72" spans="4:46" outlineLevel="1">
      <c r="D72" s="18" t="s">
        <v>11</v>
      </c>
      <c r="E72" s="225">
        <f t="shared" si="34"/>
        <v>1080</v>
      </c>
      <c r="F72" s="68">
        <f t="shared" si="35"/>
        <v>-3446.48</v>
      </c>
      <c r="G72" s="68">
        <f t="shared" si="36"/>
        <v>-2366.48</v>
      </c>
      <c r="H72" s="292">
        <f t="shared" si="37"/>
        <v>3.1911851851851853</v>
      </c>
      <c r="J72" s="67" t="s">
        <v>11</v>
      </c>
      <c r="K72" s="225">
        <v>300</v>
      </c>
      <c r="L72" s="68">
        <v>-109</v>
      </c>
      <c r="M72" s="17">
        <v>191</v>
      </c>
      <c r="N72" s="225">
        <v>300</v>
      </c>
      <c r="O72" s="68">
        <v>-123.71000000000001</v>
      </c>
      <c r="P72" s="17">
        <v>176.29</v>
      </c>
      <c r="Q72" s="225">
        <v>20</v>
      </c>
      <c r="R72" s="68">
        <v>-349</v>
      </c>
      <c r="S72" s="17">
        <v>-329</v>
      </c>
      <c r="T72" s="225">
        <v>20</v>
      </c>
      <c r="U72" s="68">
        <v>-163</v>
      </c>
      <c r="V72" s="17">
        <v>-143</v>
      </c>
      <c r="W72" s="225">
        <v>300</v>
      </c>
      <c r="X72" s="68">
        <v>-150</v>
      </c>
      <c r="Y72" s="17">
        <v>150</v>
      </c>
      <c r="Z72" s="225">
        <v>20</v>
      </c>
      <c r="AA72" s="68">
        <v>0</v>
      </c>
      <c r="AB72" s="68">
        <v>20</v>
      </c>
      <c r="AC72" s="225">
        <v>20</v>
      </c>
      <c r="AD72" s="68">
        <v>-895.77</v>
      </c>
      <c r="AE72" s="17">
        <v>-875.77</v>
      </c>
      <c r="AF72" s="225">
        <v>20</v>
      </c>
      <c r="AG72" s="68">
        <v>-636</v>
      </c>
      <c r="AH72" s="17">
        <v>-616</v>
      </c>
      <c r="AI72" s="225">
        <v>20</v>
      </c>
      <c r="AJ72" s="68">
        <v>-270</v>
      </c>
      <c r="AK72" s="17">
        <v>-250</v>
      </c>
      <c r="AL72" s="225">
        <v>20</v>
      </c>
      <c r="AM72" s="68">
        <v>-303</v>
      </c>
      <c r="AN72" s="17">
        <v>20</v>
      </c>
      <c r="AO72" s="225">
        <v>20</v>
      </c>
      <c r="AP72" s="68">
        <v>-297</v>
      </c>
      <c r="AQ72" s="17">
        <v>-277</v>
      </c>
      <c r="AR72" s="68">
        <v>20</v>
      </c>
      <c r="AS72" s="68">
        <v>-150</v>
      </c>
      <c r="AT72" s="17">
        <v>-130</v>
      </c>
    </row>
    <row r="73" spans="4:46" outlineLevel="1">
      <c r="D73" s="18" t="s">
        <v>12</v>
      </c>
      <c r="E73" s="225">
        <f t="shared" si="34"/>
        <v>7200</v>
      </c>
      <c r="F73" s="68">
        <f t="shared" si="35"/>
        <v>-8422.68</v>
      </c>
      <c r="G73" s="68">
        <f t="shared" si="36"/>
        <v>-1222.6800000000003</v>
      </c>
      <c r="H73" s="292">
        <f t="shared" si="37"/>
        <v>1.1698166666666667</v>
      </c>
      <c r="J73" s="67" t="s">
        <v>12</v>
      </c>
      <c r="K73" s="225">
        <v>600</v>
      </c>
      <c r="L73" s="68">
        <v>-683</v>
      </c>
      <c r="M73" s="17">
        <v>-83</v>
      </c>
      <c r="N73" s="225">
        <v>600</v>
      </c>
      <c r="O73" s="68">
        <v>-791.49</v>
      </c>
      <c r="P73" s="17">
        <v>-191.49</v>
      </c>
      <c r="Q73" s="225">
        <v>600</v>
      </c>
      <c r="R73" s="68">
        <v>-639</v>
      </c>
      <c r="S73" s="17">
        <v>-39</v>
      </c>
      <c r="T73" s="225">
        <v>600</v>
      </c>
      <c r="U73" s="68">
        <v>-638</v>
      </c>
      <c r="V73" s="17">
        <v>-38</v>
      </c>
      <c r="W73" s="225">
        <v>600</v>
      </c>
      <c r="X73" s="68">
        <v>-610</v>
      </c>
      <c r="Y73" s="17">
        <v>-10</v>
      </c>
      <c r="Z73" s="225">
        <v>600</v>
      </c>
      <c r="AA73" s="68">
        <v>-863</v>
      </c>
      <c r="AB73" s="68">
        <v>-263</v>
      </c>
      <c r="AC73" s="225">
        <v>600</v>
      </c>
      <c r="AD73" s="68">
        <v>-831.16</v>
      </c>
      <c r="AE73" s="17">
        <v>-231.15999999999997</v>
      </c>
      <c r="AF73" s="225">
        <v>600</v>
      </c>
      <c r="AG73" s="68">
        <v>-542.03</v>
      </c>
      <c r="AH73" s="17">
        <v>57.970000000000027</v>
      </c>
      <c r="AI73" s="225">
        <v>600</v>
      </c>
      <c r="AJ73" s="68">
        <v>-866</v>
      </c>
      <c r="AK73" s="17">
        <v>-266</v>
      </c>
      <c r="AL73" s="225">
        <v>600</v>
      </c>
      <c r="AM73" s="68">
        <v>-426</v>
      </c>
      <c r="AN73" s="17">
        <v>600</v>
      </c>
      <c r="AO73" s="225">
        <v>600</v>
      </c>
      <c r="AP73" s="68">
        <v>-885</v>
      </c>
      <c r="AQ73" s="17">
        <v>-285</v>
      </c>
      <c r="AR73" s="68">
        <v>600</v>
      </c>
      <c r="AS73" s="68">
        <v>-648</v>
      </c>
      <c r="AT73" s="17">
        <v>-48</v>
      </c>
    </row>
    <row r="74" spans="4:46" outlineLevel="1">
      <c r="D74" s="18" t="s">
        <v>13</v>
      </c>
      <c r="E74" s="225">
        <f t="shared" si="34"/>
        <v>10000</v>
      </c>
      <c r="F74" s="68">
        <f t="shared" si="35"/>
        <v>-16817.09</v>
      </c>
      <c r="G74" s="68">
        <f t="shared" si="36"/>
        <v>-6817.09</v>
      </c>
      <c r="H74" s="292">
        <f t="shared" si="37"/>
        <v>1.6817090000000001</v>
      </c>
      <c r="J74" s="67" t="s">
        <v>13</v>
      </c>
      <c r="K74" s="225">
        <v>900</v>
      </c>
      <c r="L74" s="68">
        <v>-894</v>
      </c>
      <c r="M74" s="17">
        <v>6</v>
      </c>
      <c r="N74" s="225">
        <v>900</v>
      </c>
      <c r="O74" s="68">
        <v>-1148.78</v>
      </c>
      <c r="P74" s="17">
        <v>-248.77999999999997</v>
      </c>
      <c r="Q74" s="225">
        <v>900</v>
      </c>
      <c r="R74" s="68">
        <v>-920.73</v>
      </c>
      <c r="S74" s="17">
        <v>-20.730000000000018</v>
      </c>
      <c r="T74" s="225">
        <v>900</v>
      </c>
      <c r="U74" s="68">
        <v>-1503.43</v>
      </c>
      <c r="V74" s="17">
        <v>-603.43000000000006</v>
      </c>
      <c r="W74" s="225">
        <v>800</v>
      </c>
      <c r="X74" s="68">
        <v>-1431</v>
      </c>
      <c r="Y74" s="17">
        <v>-631</v>
      </c>
      <c r="Z74" s="225">
        <v>800</v>
      </c>
      <c r="AA74" s="68">
        <v>-1825</v>
      </c>
      <c r="AB74" s="68">
        <v>-1025</v>
      </c>
      <c r="AC74" s="225">
        <v>800</v>
      </c>
      <c r="AD74" s="68">
        <v>-1605.38</v>
      </c>
      <c r="AE74" s="17">
        <v>-805.38000000000011</v>
      </c>
      <c r="AF74" s="225">
        <v>800</v>
      </c>
      <c r="AG74" s="68">
        <v>-1204</v>
      </c>
      <c r="AH74" s="17">
        <v>-404</v>
      </c>
      <c r="AI74" s="225">
        <v>800</v>
      </c>
      <c r="AJ74" s="68">
        <v>-2071.36</v>
      </c>
      <c r="AK74" s="17">
        <v>-1271.3600000000001</v>
      </c>
      <c r="AL74" s="225">
        <v>800</v>
      </c>
      <c r="AM74" s="68">
        <v>-2105</v>
      </c>
      <c r="AN74" s="17">
        <v>800</v>
      </c>
      <c r="AO74" s="225">
        <v>800</v>
      </c>
      <c r="AP74" s="68">
        <v>-964.41</v>
      </c>
      <c r="AQ74" s="17">
        <v>-164.40999999999997</v>
      </c>
      <c r="AR74" s="68">
        <v>800</v>
      </c>
      <c r="AS74" s="68">
        <v>-1144</v>
      </c>
      <c r="AT74" s="17">
        <v>-344</v>
      </c>
    </row>
    <row r="75" spans="4:46" outlineLevel="1">
      <c r="D75" s="47" t="s">
        <v>14</v>
      </c>
      <c r="E75" s="225">
        <f t="shared" si="34"/>
        <v>2100</v>
      </c>
      <c r="F75" s="68">
        <f t="shared" si="35"/>
        <v>-4405</v>
      </c>
      <c r="G75" s="68">
        <f t="shared" si="36"/>
        <v>-2305</v>
      </c>
      <c r="H75" s="292">
        <f t="shared" si="37"/>
        <v>2.0976190476190477</v>
      </c>
      <c r="J75" s="70" t="s">
        <v>14</v>
      </c>
      <c r="K75" s="225">
        <v>100</v>
      </c>
      <c r="L75" s="68">
        <v>0</v>
      </c>
      <c r="M75" s="17">
        <v>100</v>
      </c>
      <c r="N75" s="225">
        <v>100</v>
      </c>
      <c r="O75" s="68">
        <v>-134</v>
      </c>
      <c r="P75" s="17">
        <v>-34</v>
      </c>
      <c r="Q75" s="225">
        <v>100</v>
      </c>
      <c r="R75" s="68">
        <v>-1373</v>
      </c>
      <c r="S75" s="17">
        <v>-1273</v>
      </c>
      <c r="T75" s="225">
        <v>1000</v>
      </c>
      <c r="U75" s="68">
        <v>-1371</v>
      </c>
      <c r="V75" s="17">
        <v>-371</v>
      </c>
      <c r="W75" s="225">
        <v>100</v>
      </c>
      <c r="X75" s="68">
        <v>-303</v>
      </c>
      <c r="Y75" s="17">
        <v>-203</v>
      </c>
      <c r="Z75" s="225">
        <v>100</v>
      </c>
      <c r="AA75" s="68">
        <v>-584</v>
      </c>
      <c r="AB75" s="68">
        <v>-484</v>
      </c>
      <c r="AC75" s="225">
        <v>100</v>
      </c>
      <c r="AD75" s="68">
        <v>0</v>
      </c>
      <c r="AE75" s="17">
        <v>100</v>
      </c>
      <c r="AF75" s="225">
        <v>100</v>
      </c>
      <c r="AG75" s="68">
        <v>-80</v>
      </c>
      <c r="AH75" s="17">
        <v>20</v>
      </c>
      <c r="AI75" s="225">
        <v>100</v>
      </c>
      <c r="AJ75" s="68">
        <v>-260</v>
      </c>
      <c r="AK75" s="17">
        <v>-160</v>
      </c>
      <c r="AL75" s="225">
        <v>100</v>
      </c>
      <c r="AM75" s="68">
        <v>-230</v>
      </c>
      <c r="AN75" s="17">
        <v>100</v>
      </c>
      <c r="AO75" s="225">
        <v>100</v>
      </c>
      <c r="AP75" s="68">
        <v>0</v>
      </c>
      <c r="AQ75" s="17">
        <v>100</v>
      </c>
      <c r="AR75" s="68">
        <v>100</v>
      </c>
      <c r="AS75" s="68">
        <v>-70</v>
      </c>
      <c r="AT75" s="17">
        <v>30</v>
      </c>
    </row>
    <row r="76" spans="4:46" outlineLevel="1">
      <c r="D76" s="18" t="s">
        <v>15</v>
      </c>
      <c r="E76" s="225">
        <f t="shared" si="34"/>
        <v>1800</v>
      </c>
      <c r="F76" s="68">
        <f t="shared" si="35"/>
        <v>-2230.6800000000003</v>
      </c>
      <c r="G76" s="68">
        <f t="shared" si="36"/>
        <v>-430.68000000000029</v>
      </c>
      <c r="H76" s="292">
        <f t="shared" si="37"/>
        <v>1.2392666666666667</v>
      </c>
      <c r="J76" s="67" t="s">
        <v>15</v>
      </c>
      <c r="K76" s="225">
        <v>150</v>
      </c>
      <c r="L76" s="68">
        <v>-55.5</v>
      </c>
      <c r="M76" s="17">
        <v>94.5</v>
      </c>
      <c r="N76" s="225">
        <v>150</v>
      </c>
      <c r="O76" s="68">
        <v>-285.18</v>
      </c>
      <c r="P76" s="17">
        <v>-135.18</v>
      </c>
      <c r="Q76" s="225">
        <v>150</v>
      </c>
      <c r="R76" s="68">
        <v>-271</v>
      </c>
      <c r="S76" s="17">
        <v>-121</v>
      </c>
      <c r="T76" s="225">
        <v>150</v>
      </c>
      <c r="U76" s="68">
        <v>-150</v>
      </c>
      <c r="V76" s="17">
        <v>0</v>
      </c>
      <c r="W76" s="225">
        <v>150</v>
      </c>
      <c r="X76" s="68">
        <v>-424</v>
      </c>
      <c r="Y76" s="17">
        <v>-274</v>
      </c>
      <c r="Z76" s="225">
        <v>150</v>
      </c>
      <c r="AA76" s="68">
        <v>-219</v>
      </c>
      <c r="AB76" s="68">
        <v>-69</v>
      </c>
      <c r="AC76" s="225">
        <v>150</v>
      </c>
      <c r="AD76" s="68">
        <v>-277</v>
      </c>
      <c r="AE76" s="17">
        <v>-127</v>
      </c>
      <c r="AF76" s="225">
        <v>150</v>
      </c>
      <c r="AG76" s="68">
        <v>-128</v>
      </c>
      <c r="AH76" s="17">
        <v>22</v>
      </c>
      <c r="AI76" s="225">
        <v>150</v>
      </c>
      <c r="AJ76" s="68">
        <v>-69</v>
      </c>
      <c r="AK76" s="17">
        <v>81</v>
      </c>
      <c r="AL76" s="225">
        <v>150</v>
      </c>
      <c r="AM76" s="68">
        <v>-65</v>
      </c>
      <c r="AN76" s="17">
        <v>150</v>
      </c>
      <c r="AO76" s="225">
        <v>150</v>
      </c>
      <c r="AP76" s="68">
        <v>-72</v>
      </c>
      <c r="AQ76" s="17">
        <v>78</v>
      </c>
      <c r="AR76" s="68">
        <v>150</v>
      </c>
      <c r="AS76" s="68">
        <v>-215</v>
      </c>
      <c r="AT76" s="17">
        <v>-65</v>
      </c>
    </row>
    <row r="77" spans="4:46" outlineLevel="1">
      <c r="D77" s="18" t="s">
        <v>16</v>
      </c>
      <c r="E77" s="225">
        <f t="shared" si="34"/>
        <v>3050</v>
      </c>
      <c r="F77" s="68">
        <f t="shared" si="35"/>
        <v>-7078.0599999999995</v>
      </c>
      <c r="G77" s="68">
        <f t="shared" si="36"/>
        <v>-4028.0599999999995</v>
      </c>
      <c r="H77" s="292">
        <f t="shared" si="37"/>
        <v>2.3206754098360656</v>
      </c>
      <c r="J77" s="67" t="s">
        <v>16</v>
      </c>
      <c r="K77" s="225">
        <v>1000</v>
      </c>
      <c r="L77" s="68">
        <v>-855</v>
      </c>
      <c r="M77" s="17">
        <v>145</v>
      </c>
      <c r="N77" s="225">
        <v>50</v>
      </c>
      <c r="O77" s="68">
        <v>0</v>
      </c>
      <c r="P77" s="17">
        <v>50</v>
      </c>
      <c r="Q77" s="225">
        <v>50</v>
      </c>
      <c r="R77" s="68">
        <v>-323.24</v>
      </c>
      <c r="S77" s="17">
        <v>-273.24</v>
      </c>
      <c r="T77" s="225">
        <v>200</v>
      </c>
      <c r="U77" s="68">
        <v>0</v>
      </c>
      <c r="V77" s="17">
        <v>200</v>
      </c>
      <c r="W77" s="225">
        <v>300</v>
      </c>
      <c r="X77" s="68">
        <v>-440</v>
      </c>
      <c r="Y77" s="17">
        <v>-140</v>
      </c>
      <c r="Z77" s="225">
        <v>50</v>
      </c>
      <c r="AA77" s="68">
        <v>-2122</v>
      </c>
      <c r="AB77" s="68">
        <v>-2072</v>
      </c>
      <c r="AC77" s="225">
        <v>200</v>
      </c>
      <c r="AD77" s="68">
        <v>-117.82</v>
      </c>
      <c r="AE77" s="17">
        <v>82.18</v>
      </c>
      <c r="AF77" s="225">
        <v>50</v>
      </c>
      <c r="AG77" s="68">
        <v>0</v>
      </c>
      <c r="AH77" s="17">
        <v>50</v>
      </c>
      <c r="AI77" s="225">
        <v>50</v>
      </c>
      <c r="AJ77" s="68">
        <v>-400</v>
      </c>
      <c r="AK77" s="17">
        <v>-350</v>
      </c>
      <c r="AL77" s="225">
        <v>50</v>
      </c>
      <c r="AM77" s="68">
        <v>-541</v>
      </c>
      <c r="AN77" s="17">
        <v>50</v>
      </c>
      <c r="AO77" s="225">
        <v>50</v>
      </c>
      <c r="AP77" s="68">
        <v>-711</v>
      </c>
      <c r="AQ77" s="17">
        <v>-661</v>
      </c>
      <c r="AR77" s="68">
        <v>1000</v>
      </c>
      <c r="AS77" s="68">
        <v>-1568</v>
      </c>
      <c r="AT77" s="17">
        <v>-568</v>
      </c>
    </row>
    <row r="78" spans="4:46" outlineLevel="1">
      <c r="D78" s="18" t="s">
        <v>17</v>
      </c>
      <c r="E78" s="225">
        <f t="shared" si="34"/>
        <v>10800</v>
      </c>
      <c r="F78" s="68">
        <f t="shared" si="35"/>
        <v>-14672.909999999998</v>
      </c>
      <c r="G78" s="68">
        <f t="shared" si="36"/>
        <v>-3872.909999999998</v>
      </c>
      <c r="H78" s="292">
        <f t="shared" si="37"/>
        <v>1.3586027777777776</v>
      </c>
      <c r="J78" s="67" t="s">
        <v>17</v>
      </c>
      <c r="K78" s="225">
        <v>700</v>
      </c>
      <c r="L78" s="68">
        <v>-843.51</v>
      </c>
      <c r="M78" s="17">
        <v>-143.51</v>
      </c>
      <c r="N78" s="225">
        <v>700</v>
      </c>
      <c r="O78" s="68">
        <v>-1210.52</v>
      </c>
      <c r="P78" s="17">
        <v>-510.52</v>
      </c>
      <c r="Q78" s="225">
        <v>700</v>
      </c>
      <c r="R78" s="68">
        <v>-973</v>
      </c>
      <c r="S78" s="17">
        <v>-273</v>
      </c>
      <c r="T78" s="225">
        <v>1000</v>
      </c>
      <c r="U78" s="68">
        <v>-1077</v>
      </c>
      <c r="V78" s="17">
        <v>-77</v>
      </c>
      <c r="W78" s="225">
        <v>1000</v>
      </c>
      <c r="X78" s="68">
        <v>-1399</v>
      </c>
      <c r="Y78" s="17">
        <v>-399</v>
      </c>
      <c r="Z78" s="225">
        <v>700</v>
      </c>
      <c r="AA78" s="68">
        <v>-1018</v>
      </c>
      <c r="AB78" s="68">
        <v>-318</v>
      </c>
      <c r="AC78" s="225">
        <v>1000</v>
      </c>
      <c r="AD78" s="68">
        <v>-1562</v>
      </c>
      <c r="AE78" s="17">
        <v>-562</v>
      </c>
      <c r="AF78" s="225">
        <v>1000</v>
      </c>
      <c r="AG78" s="68">
        <v>-1842</v>
      </c>
      <c r="AH78" s="17">
        <v>-842</v>
      </c>
      <c r="AI78" s="225">
        <v>1000</v>
      </c>
      <c r="AJ78" s="68">
        <v>-916.64</v>
      </c>
      <c r="AK78" s="17">
        <v>83.360000000000014</v>
      </c>
      <c r="AL78" s="225">
        <v>1000</v>
      </c>
      <c r="AM78" s="68">
        <v>-1104.24</v>
      </c>
      <c r="AN78" s="17">
        <v>1000</v>
      </c>
      <c r="AO78" s="225">
        <v>1000</v>
      </c>
      <c r="AP78" s="68">
        <v>-1125</v>
      </c>
      <c r="AQ78" s="17">
        <v>-125</v>
      </c>
      <c r="AR78" s="68">
        <v>1000</v>
      </c>
      <c r="AS78" s="68">
        <v>-1602</v>
      </c>
      <c r="AT78" s="17">
        <v>-602</v>
      </c>
    </row>
    <row r="79" spans="4:46" outlineLevel="1">
      <c r="D79" s="18" t="s">
        <v>18</v>
      </c>
      <c r="E79" s="225">
        <f t="shared" si="34"/>
        <v>3450</v>
      </c>
      <c r="F79" s="68">
        <f t="shared" si="35"/>
        <v>-2664.8</v>
      </c>
      <c r="G79" s="68">
        <f t="shared" si="36"/>
        <v>785.19999999999982</v>
      </c>
      <c r="H79" s="292">
        <f t="shared" si="37"/>
        <v>0.7724057971014493</v>
      </c>
      <c r="J79" s="67" t="s">
        <v>18</v>
      </c>
      <c r="K79" s="225">
        <v>300</v>
      </c>
      <c r="L79" s="68">
        <v>-312</v>
      </c>
      <c r="M79" s="17">
        <v>-12</v>
      </c>
      <c r="N79" s="225">
        <v>300</v>
      </c>
      <c r="O79" s="68">
        <v>-310</v>
      </c>
      <c r="P79" s="17">
        <v>-10</v>
      </c>
      <c r="Q79" s="225">
        <v>300</v>
      </c>
      <c r="R79" s="68">
        <v>-160</v>
      </c>
      <c r="S79" s="17">
        <v>140</v>
      </c>
      <c r="T79" s="225">
        <v>300</v>
      </c>
      <c r="U79" s="68">
        <v>-280</v>
      </c>
      <c r="V79" s="17">
        <v>20</v>
      </c>
      <c r="W79" s="225">
        <v>300</v>
      </c>
      <c r="X79" s="68">
        <v>-164</v>
      </c>
      <c r="Y79" s="17">
        <v>136</v>
      </c>
      <c r="Z79" s="225">
        <v>300</v>
      </c>
      <c r="AA79" s="68">
        <v>-163</v>
      </c>
      <c r="AB79" s="68">
        <v>137</v>
      </c>
      <c r="AC79" s="225">
        <v>300</v>
      </c>
      <c r="AD79" s="68">
        <v>-324.8</v>
      </c>
      <c r="AE79" s="17">
        <v>-24.800000000000011</v>
      </c>
      <c r="AF79" s="225">
        <v>300</v>
      </c>
      <c r="AG79" s="68">
        <v>-177</v>
      </c>
      <c r="AH79" s="17">
        <v>123</v>
      </c>
      <c r="AI79" s="225">
        <v>150</v>
      </c>
      <c r="AJ79" s="68">
        <v>-170</v>
      </c>
      <c r="AK79" s="17">
        <v>-20</v>
      </c>
      <c r="AL79" s="225">
        <v>300</v>
      </c>
      <c r="AM79" s="68">
        <v>-160</v>
      </c>
      <c r="AN79" s="17">
        <v>300</v>
      </c>
      <c r="AO79" s="225">
        <v>300</v>
      </c>
      <c r="AP79" s="68">
        <v>-160</v>
      </c>
      <c r="AQ79" s="17">
        <v>140</v>
      </c>
      <c r="AR79" s="68">
        <v>300</v>
      </c>
      <c r="AS79" s="68">
        <v>-284</v>
      </c>
      <c r="AT79" s="17">
        <v>16</v>
      </c>
    </row>
    <row r="80" spans="4:46" outlineLevel="1">
      <c r="D80" s="18" t="s">
        <v>19</v>
      </c>
      <c r="E80" s="225">
        <f t="shared" si="34"/>
        <v>0</v>
      </c>
      <c r="F80" s="68">
        <f t="shared" si="35"/>
        <v>0</v>
      </c>
      <c r="G80" s="68">
        <f t="shared" si="36"/>
        <v>0</v>
      </c>
      <c r="H80" s="292">
        <v>0</v>
      </c>
      <c r="J80" s="67" t="s">
        <v>19</v>
      </c>
      <c r="K80" s="225">
        <v>0</v>
      </c>
      <c r="L80" s="68">
        <v>0</v>
      </c>
      <c r="M80" s="17">
        <v>0</v>
      </c>
      <c r="N80" s="225">
        <v>0</v>
      </c>
      <c r="O80" s="68">
        <v>0</v>
      </c>
      <c r="P80" s="17">
        <v>0</v>
      </c>
      <c r="Q80" s="225">
        <v>0</v>
      </c>
      <c r="R80" s="68">
        <v>0</v>
      </c>
      <c r="S80" s="17">
        <v>0</v>
      </c>
      <c r="T80" s="225">
        <v>0</v>
      </c>
      <c r="U80" s="68">
        <v>0</v>
      </c>
      <c r="V80" s="17">
        <v>0</v>
      </c>
      <c r="W80" s="225">
        <v>0</v>
      </c>
      <c r="X80" s="68">
        <v>0</v>
      </c>
      <c r="Y80" s="17">
        <v>0</v>
      </c>
      <c r="Z80" s="225">
        <v>0</v>
      </c>
      <c r="AA80" s="68">
        <v>0</v>
      </c>
      <c r="AB80" s="68">
        <v>0</v>
      </c>
      <c r="AC80" s="225">
        <v>0</v>
      </c>
      <c r="AD80" s="68">
        <v>0</v>
      </c>
      <c r="AE80" s="17">
        <v>0</v>
      </c>
      <c r="AF80" s="225">
        <v>0</v>
      </c>
      <c r="AG80" s="68">
        <v>0</v>
      </c>
      <c r="AH80" s="17">
        <v>0</v>
      </c>
      <c r="AI80" s="225">
        <v>0</v>
      </c>
      <c r="AJ80" s="68">
        <v>0</v>
      </c>
      <c r="AK80" s="17">
        <v>0</v>
      </c>
      <c r="AL80" s="225">
        <v>0</v>
      </c>
      <c r="AM80" s="68">
        <v>0</v>
      </c>
      <c r="AN80" s="17">
        <v>0</v>
      </c>
      <c r="AO80" s="225">
        <v>0</v>
      </c>
      <c r="AP80" s="68">
        <v>0</v>
      </c>
      <c r="AQ80" s="17">
        <v>0</v>
      </c>
      <c r="AR80" s="68">
        <v>0</v>
      </c>
      <c r="AS80" s="68">
        <v>0</v>
      </c>
      <c r="AT80" s="17">
        <v>0</v>
      </c>
    </row>
    <row r="81" spans="4:46" outlineLevel="1">
      <c r="D81" s="18" t="s">
        <v>20</v>
      </c>
      <c r="E81" s="225">
        <f t="shared" si="34"/>
        <v>7600</v>
      </c>
      <c r="F81" s="68">
        <f t="shared" si="35"/>
        <v>-8684.5300000000007</v>
      </c>
      <c r="G81" s="68">
        <f t="shared" si="36"/>
        <v>-1084.5300000000007</v>
      </c>
      <c r="H81" s="292">
        <f t="shared" ref="H81:H90" si="38">ABS(F81)/E81</f>
        <v>1.1427013157894739</v>
      </c>
      <c r="J81" s="67" t="s">
        <v>20</v>
      </c>
      <c r="K81" s="225">
        <v>2000</v>
      </c>
      <c r="L81" s="68">
        <v>-2760.26</v>
      </c>
      <c r="M81" s="17">
        <v>-760.26000000000022</v>
      </c>
      <c r="N81" s="225">
        <v>500</v>
      </c>
      <c r="O81" s="68">
        <v>-694.27</v>
      </c>
      <c r="P81" s="17">
        <v>-194.26999999999998</v>
      </c>
      <c r="Q81" s="225">
        <v>500</v>
      </c>
      <c r="R81" s="68">
        <v>-539</v>
      </c>
      <c r="S81" s="17">
        <v>-39</v>
      </c>
      <c r="T81" s="225">
        <v>500</v>
      </c>
      <c r="U81" s="68">
        <v>-347</v>
      </c>
      <c r="V81" s="17">
        <v>153</v>
      </c>
      <c r="W81" s="225">
        <v>500</v>
      </c>
      <c r="X81" s="68">
        <v>-366</v>
      </c>
      <c r="Y81" s="17">
        <v>134</v>
      </c>
      <c r="Z81" s="225">
        <v>500</v>
      </c>
      <c r="AA81" s="68">
        <v>-601</v>
      </c>
      <c r="AB81" s="68">
        <v>-101</v>
      </c>
      <c r="AC81" s="225">
        <v>500</v>
      </c>
      <c r="AD81" s="68">
        <v>-318</v>
      </c>
      <c r="AE81" s="17">
        <v>182</v>
      </c>
      <c r="AF81" s="225">
        <v>500</v>
      </c>
      <c r="AG81" s="68">
        <v>-380</v>
      </c>
      <c r="AH81" s="17">
        <v>120</v>
      </c>
      <c r="AI81" s="225">
        <v>500</v>
      </c>
      <c r="AJ81" s="68">
        <v>-342</v>
      </c>
      <c r="AK81" s="17">
        <v>158</v>
      </c>
      <c r="AL81" s="225">
        <v>500</v>
      </c>
      <c r="AM81" s="68">
        <v>-743</v>
      </c>
      <c r="AN81" s="17">
        <v>500</v>
      </c>
      <c r="AO81" s="225">
        <v>500</v>
      </c>
      <c r="AP81" s="68">
        <v>-371</v>
      </c>
      <c r="AQ81" s="17">
        <v>129</v>
      </c>
      <c r="AR81" s="68">
        <v>600</v>
      </c>
      <c r="AS81" s="68">
        <v>-1223</v>
      </c>
      <c r="AT81" s="17">
        <v>-623</v>
      </c>
    </row>
    <row r="82" spans="4:46" outlineLevel="1">
      <c r="D82" s="18" t="s">
        <v>21</v>
      </c>
      <c r="E82" s="225">
        <f t="shared" si="34"/>
        <v>4800</v>
      </c>
      <c r="F82" s="68">
        <f t="shared" si="35"/>
        <v>-5273</v>
      </c>
      <c r="G82" s="68">
        <f t="shared" si="36"/>
        <v>-473</v>
      </c>
      <c r="H82" s="292">
        <f t="shared" si="38"/>
        <v>1.0985416666666667</v>
      </c>
      <c r="J82" s="67" t="s">
        <v>21</v>
      </c>
      <c r="K82" s="225">
        <v>400</v>
      </c>
      <c r="L82" s="68">
        <v>-393</v>
      </c>
      <c r="M82" s="17">
        <v>7</v>
      </c>
      <c r="N82" s="225">
        <v>400</v>
      </c>
      <c r="O82" s="68">
        <v>-350</v>
      </c>
      <c r="P82" s="17">
        <v>50</v>
      </c>
      <c r="Q82" s="225">
        <v>400</v>
      </c>
      <c r="R82" s="68">
        <v>-243</v>
      </c>
      <c r="S82" s="17">
        <v>157</v>
      </c>
      <c r="T82" s="225">
        <v>400</v>
      </c>
      <c r="U82" s="68">
        <v>-343</v>
      </c>
      <c r="V82" s="17">
        <v>57</v>
      </c>
      <c r="W82" s="225">
        <v>400</v>
      </c>
      <c r="X82" s="68">
        <v>-371</v>
      </c>
      <c r="Y82" s="17">
        <v>29</v>
      </c>
      <c r="Z82" s="225">
        <v>400</v>
      </c>
      <c r="AA82" s="68">
        <v>-447</v>
      </c>
      <c r="AB82" s="68">
        <v>-47</v>
      </c>
      <c r="AC82" s="225">
        <v>400</v>
      </c>
      <c r="AD82" s="68">
        <v>-256</v>
      </c>
      <c r="AE82" s="17">
        <v>144</v>
      </c>
      <c r="AF82" s="225">
        <v>400</v>
      </c>
      <c r="AG82" s="68">
        <v>-507</v>
      </c>
      <c r="AH82" s="17">
        <v>-107</v>
      </c>
      <c r="AI82" s="225">
        <v>400</v>
      </c>
      <c r="AJ82" s="68">
        <v>-549</v>
      </c>
      <c r="AK82" s="17">
        <v>-149</v>
      </c>
      <c r="AL82" s="225">
        <v>400</v>
      </c>
      <c r="AM82" s="68">
        <v>-554</v>
      </c>
      <c r="AN82" s="17">
        <v>400</v>
      </c>
      <c r="AO82" s="225">
        <v>400</v>
      </c>
      <c r="AP82" s="68">
        <v>-561</v>
      </c>
      <c r="AQ82" s="17">
        <v>-161</v>
      </c>
      <c r="AR82" s="225">
        <v>400</v>
      </c>
      <c r="AS82" s="68">
        <v>-699</v>
      </c>
      <c r="AT82" s="17">
        <v>-299</v>
      </c>
    </row>
    <row r="83" spans="4:46" outlineLevel="1">
      <c r="D83" s="18" t="s">
        <v>22</v>
      </c>
      <c r="E83" s="225">
        <f t="shared" si="34"/>
        <v>45255</v>
      </c>
      <c r="F83" s="68">
        <f t="shared" si="35"/>
        <v>-50666</v>
      </c>
      <c r="G83" s="68">
        <f t="shared" si="36"/>
        <v>-5411</v>
      </c>
      <c r="H83" s="292">
        <f t="shared" si="38"/>
        <v>1.1195668986852281</v>
      </c>
      <c r="J83" s="67" t="s">
        <v>22</v>
      </c>
      <c r="K83" s="225">
        <v>3600</v>
      </c>
      <c r="L83" s="68">
        <v>-3611</v>
      </c>
      <c r="M83" s="17">
        <v>-11</v>
      </c>
      <c r="N83" s="225">
        <v>3600</v>
      </c>
      <c r="O83" s="68">
        <v>-3611</v>
      </c>
      <c r="P83" s="17">
        <v>-11</v>
      </c>
      <c r="Q83" s="225">
        <v>3600</v>
      </c>
      <c r="R83" s="68">
        <v>-3611</v>
      </c>
      <c r="S83" s="17">
        <v>-11</v>
      </c>
      <c r="T83" s="225">
        <v>3600</v>
      </c>
      <c r="U83" s="68">
        <v>-3611</v>
      </c>
      <c r="V83" s="17">
        <v>-11</v>
      </c>
      <c r="W83" s="225">
        <v>3600</v>
      </c>
      <c r="X83" s="68">
        <v>-3611</v>
      </c>
      <c r="Y83" s="17">
        <v>-11</v>
      </c>
      <c r="Z83" s="225">
        <v>3600</v>
      </c>
      <c r="AA83" s="68">
        <v>-11017</v>
      </c>
      <c r="AB83" s="68">
        <v>-7417</v>
      </c>
      <c r="AC83" s="225">
        <v>3600</v>
      </c>
      <c r="AD83" s="68">
        <v>-1511</v>
      </c>
      <c r="AE83" s="17">
        <v>2089</v>
      </c>
      <c r="AF83" s="225">
        <v>4011</v>
      </c>
      <c r="AG83" s="68">
        <v>-4015</v>
      </c>
      <c r="AH83" s="17">
        <v>-4</v>
      </c>
      <c r="AI83" s="225">
        <v>4011</v>
      </c>
      <c r="AJ83" s="68">
        <v>-4011</v>
      </c>
      <c r="AK83" s="17">
        <v>0</v>
      </c>
      <c r="AL83" s="225">
        <v>4011</v>
      </c>
      <c r="AM83" s="68">
        <v>-4011</v>
      </c>
      <c r="AN83" s="17">
        <v>4011</v>
      </c>
      <c r="AO83" s="225">
        <v>4011</v>
      </c>
      <c r="AP83" s="68">
        <v>-4011</v>
      </c>
      <c r="AQ83" s="17">
        <v>0</v>
      </c>
      <c r="AR83" s="68">
        <v>4011</v>
      </c>
      <c r="AS83" s="68">
        <v>-4035</v>
      </c>
      <c r="AT83" s="17">
        <v>-24</v>
      </c>
    </row>
    <row r="84" spans="4:46" outlineLevel="1">
      <c r="D84" s="18" t="s">
        <v>23</v>
      </c>
      <c r="E84" s="225">
        <f t="shared" si="34"/>
        <v>11131.000000000004</v>
      </c>
      <c r="F84" s="68">
        <f t="shared" si="35"/>
        <v>-13939</v>
      </c>
      <c r="G84" s="68">
        <f t="shared" si="36"/>
        <v>-2807.9999999999964</v>
      </c>
      <c r="H84" s="292">
        <f t="shared" si="38"/>
        <v>1.2522684394933066</v>
      </c>
      <c r="J84" s="67" t="s">
        <v>23</v>
      </c>
      <c r="K84" s="225">
        <v>150</v>
      </c>
      <c r="L84" s="68">
        <v>-58</v>
      </c>
      <c r="M84" s="17">
        <v>92</v>
      </c>
      <c r="N84" s="225">
        <v>2000</v>
      </c>
      <c r="O84" s="68">
        <v>-2831</v>
      </c>
      <c r="P84" s="17">
        <v>-831</v>
      </c>
      <c r="Q84" s="225">
        <v>176.2</v>
      </c>
      <c r="R84" s="68">
        <v>0</v>
      </c>
      <c r="S84" s="17">
        <v>176.2</v>
      </c>
      <c r="T84" s="225">
        <v>0</v>
      </c>
      <c r="U84" s="68">
        <v>-736</v>
      </c>
      <c r="V84" s="17">
        <v>-736</v>
      </c>
      <c r="W84" s="225">
        <v>500</v>
      </c>
      <c r="X84" s="68">
        <v>0</v>
      </c>
      <c r="Y84" s="17">
        <v>500</v>
      </c>
      <c r="Z84" s="225">
        <v>500</v>
      </c>
      <c r="AA84" s="68">
        <v>0</v>
      </c>
      <c r="AB84" s="68">
        <v>500</v>
      </c>
      <c r="AC84" s="225">
        <v>100</v>
      </c>
      <c r="AD84" s="68">
        <v>0</v>
      </c>
      <c r="AE84" s="17">
        <v>100</v>
      </c>
      <c r="AF84" s="225">
        <v>7000</v>
      </c>
      <c r="AG84" s="68">
        <v>-6735</v>
      </c>
      <c r="AH84" s="17">
        <v>265</v>
      </c>
      <c r="AI84" s="225">
        <v>176.2</v>
      </c>
      <c r="AJ84" s="68">
        <v>-429</v>
      </c>
      <c r="AK84" s="17">
        <v>-252.8</v>
      </c>
      <c r="AL84" s="225">
        <v>176.2</v>
      </c>
      <c r="AM84" s="68">
        <v>0</v>
      </c>
      <c r="AN84" s="17">
        <v>176.2</v>
      </c>
      <c r="AO84" s="225">
        <v>176.2</v>
      </c>
      <c r="AP84" s="68">
        <v>-1976</v>
      </c>
      <c r="AQ84" s="17">
        <v>24</v>
      </c>
      <c r="AR84" s="68">
        <v>176.2</v>
      </c>
      <c r="AS84" s="68">
        <v>-1174</v>
      </c>
      <c r="AT84" s="17">
        <v>-997.8</v>
      </c>
    </row>
    <row r="85" spans="4:46" outlineLevel="1">
      <c r="D85" s="18" t="s">
        <v>24</v>
      </c>
      <c r="E85" s="225">
        <f t="shared" si="34"/>
        <v>2400</v>
      </c>
      <c r="F85" s="68">
        <f t="shared" si="35"/>
        <v>-8401</v>
      </c>
      <c r="G85" s="68">
        <f t="shared" si="36"/>
        <v>-6001</v>
      </c>
      <c r="H85" s="292">
        <f t="shared" si="38"/>
        <v>3.5004166666666667</v>
      </c>
      <c r="J85" s="67" t="s">
        <v>24</v>
      </c>
      <c r="K85" s="225">
        <v>200</v>
      </c>
      <c r="L85" s="68">
        <v>-150</v>
      </c>
      <c r="M85" s="17">
        <v>50</v>
      </c>
      <c r="N85" s="225">
        <v>200</v>
      </c>
      <c r="O85" s="68">
        <v>-1350</v>
      </c>
      <c r="P85" s="17">
        <v>-1150</v>
      </c>
      <c r="Q85" s="225">
        <v>200</v>
      </c>
      <c r="R85" s="68">
        <v>-200</v>
      </c>
      <c r="S85" s="17">
        <v>0</v>
      </c>
      <c r="T85" s="225">
        <v>200</v>
      </c>
      <c r="U85" s="68">
        <v>-200</v>
      </c>
      <c r="V85" s="17">
        <v>0</v>
      </c>
      <c r="W85" s="225">
        <v>200</v>
      </c>
      <c r="X85" s="68">
        <v>-200</v>
      </c>
      <c r="Y85" s="17">
        <v>0</v>
      </c>
      <c r="Z85" s="225">
        <v>200</v>
      </c>
      <c r="AA85" s="68">
        <v>-746</v>
      </c>
      <c r="AB85" s="68">
        <v>-546</v>
      </c>
      <c r="AC85" s="225">
        <v>200</v>
      </c>
      <c r="AD85" s="68">
        <v>-1925</v>
      </c>
      <c r="AE85" s="17">
        <v>-1725</v>
      </c>
      <c r="AF85" s="225">
        <v>200</v>
      </c>
      <c r="AG85" s="68">
        <v>-200</v>
      </c>
      <c r="AH85" s="17">
        <v>0</v>
      </c>
      <c r="AI85" s="225">
        <v>200</v>
      </c>
      <c r="AJ85" s="68">
        <v>-200</v>
      </c>
      <c r="AK85" s="17">
        <v>0</v>
      </c>
      <c r="AL85" s="225">
        <v>200</v>
      </c>
      <c r="AM85" s="68">
        <v>-200</v>
      </c>
      <c r="AN85" s="17">
        <v>200</v>
      </c>
      <c r="AO85" s="225">
        <v>200</v>
      </c>
      <c r="AP85" s="68">
        <v>-200</v>
      </c>
      <c r="AQ85" s="17">
        <v>0</v>
      </c>
      <c r="AR85" s="68">
        <v>200</v>
      </c>
      <c r="AS85" s="68">
        <v>-2830</v>
      </c>
      <c r="AT85" s="17">
        <v>-2630</v>
      </c>
    </row>
    <row r="86" spans="4:46" outlineLevel="1">
      <c r="D86" s="18" t="s">
        <v>25</v>
      </c>
      <c r="E86" s="225">
        <f t="shared" si="34"/>
        <v>2123</v>
      </c>
      <c r="F86" s="68">
        <f t="shared" si="35"/>
        <v>-1793</v>
      </c>
      <c r="G86" s="68">
        <f t="shared" si="36"/>
        <v>330</v>
      </c>
      <c r="H86" s="292">
        <f t="shared" si="38"/>
        <v>0.84455958549222798</v>
      </c>
      <c r="J86" s="67" t="s">
        <v>25</v>
      </c>
      <c r="K86" s="225">
        <v>500</v>
      </c>
      <c r="L86" s="68">
        <v>0</v>
      </c>
      <c r="M86" s="17">
        <v>500</v>
      </c>
      <c r="N86" s="225">
        <v>500</v>
      </c>
      <c r="O86" s="68">
        <v>0</v>
      </c>
      <c r="P86" s="17">
        <v>500</v>
      </c>
      <c r="Q86" s="225">
        <v>250</v>
      </c>
      <c r="R86" s="68">
        <v>0</v>
      </c>
      <c r="S86" s="17">
        <v>250</v>
      </c>
      <c r="T86" s="225">
        <v>250</v>
      </c>
      <c r="U86" s="68">
        <v>0</v>
      </c>
      <c r="V86" s="17">
        <v>250</v>
      </c>
      <c r="W86" s="225">
        <v>0</v>
      </c>
      <c r="X86" s="68">
        <v>-500</v>
      </c>
      <c r="Y86" s="17">
        <v>-500</v>
      </c>
      <c r="Z86" s="225">
        <v>0</v>
      </c>
      <c r="AA86" s="68">
        <v>0</v>
      </c>
      <c r="AB86" s="68">
        <v>0</v>
      </c>
      <c r="AC86" s="225">
        <v>0</v>
      </c>
      <c r="AD86" s="68">
        <v>0</v>
      </c>
      <c r="AE86" s="17">
        <v>0</v>
      </c>
      <c r="AF86" s="225">
        <v>523</v>
      </c>
      <c r="AG86" s="68">
        <v>-642</v>
      </c>
      <c r="AH86" s="17">
        <v>-119</v>
      </c>
      <c r="AI86" s="225">
        <v>100</v>
      </c>
      <c r="AJ86" s="68">
        <v>0</v>
      </c>
      <c r="AK86" s="17">
        <v>100</v>
      </c>
      <c r="AL86" s="225">
        <v>0</v>
      </c>
      <c r="AM86" s="68">
        <v>-651</v>
      </c>
      <c r="AN86" s="17">
        <v>0</v>
      </c>
      <c r="AO86" s="225">
        <v>0</v>
      </c>
      <c r="AP86" s="68">
        <v>0</v>
      </c>
      <c r="AQ86" s="17">
        <v>0</v>
      </c>
      <c r="AR86" s="68">
        <v>0</v>
      </c>
      <c r="AS86" s="68">
        <v>0</v>
      </c>
      <c r="AT86" s="17">
        <v>0</v>
      </c>
    </row>
    <row r="87" spans="4:46" outlineLevel="1">
      <c r="D87" s="18" t="s">
        <v>26</v>
      </c>
      <c r="E87" s="225">
        <f t="shared" si="34"/>
        <v>8500</v>
      </c>
      <c r="F87" s="68">
        <f t="shared" si="35"/>
        <v>-14326.18</v>
      </c>
      <c r="G87" s="68">
        <f t="shared" si="36"/>
        <v>-5826.18</v>
      </c>
      <c r="H87" s="292">
        <f t="shared" si="38"/>
        <v>1.6854329411764706</v>
      </c>
      <c r="J87" s="67" t="s">
        <v>26</v>
      </c>
      <c r="K87" s="225">
        <v>200</v>
      </c>
      <c r="L87" s="68">
        <v>-263.18</v>
      </c>
      <c r="M87" s="17">
        <v>-63.180000000000007</v>
      </c>
      <c r="N87" s="225">
        <v>200</v>
      </c>
      <c r="O87" s="68">
        <v>0</v>
      </c>
      <c r="P87" s="17">
        <v>200</v>
      </c>
      <c r="Q87" s="225">
        <v>200</v>
      </c>
      <c r="R87" s="68">
        <v>-350</v>
      </c>
      <c r="S87" s="17">
        <v>-150</v>
      </c>
      <c r="T87" s="225">
        <v>200</v>
      </c>
      <c r="U87" s="68">
        <v>0</v>
      </c>
      <c r="V87" s="17">
        <v>200</v>
      </c>
      <c r="W87" s="225">
        <v>200</v>
      </c>
      <c r="X87" s="68">
        <v>-1375</v>
      </c>
      <c r="Y87" s="17">
        <v>-1175</v>
      </c>
      <c r="Z87" s="225">
        <v>200</v>
      </c>
      <c r="AA87" s="68">
        <v>-508</v>
      </c>
      <c r="AB87" s="68">
        <v>-308</v>
      </c>
      <c r="AC87" s="225">
        <v>2000</v>
      </c>
      <c r="AD87" s="68">
        <v>-5857</v>
      </c>
      <c r="AE87" s="17">
        <v>-3857</v>
      </c>
      <c r="AF87" s="225">
        <v>200</v>
      </c>
      <c r="AG87" s="68">
        <v>-210</v>
      </c>
      <c r="AH87" s="17"/>
      <c r="AI87" s="225">
        <v>4500</v>
      </c>
      <c r="AJ87" s="68">
        <v>-4275</v>
      </c>
      <c r="AK87" s="17">
        <v>225</v>
      </c>
      <c r="AL87" s="225">
        <v>200</v>
      </c>
      <c r="AM87" s="68">
        <v>-567</v>
      </c>
      <c r="AN87" s="17">
        <v>200</v>
      </c>
      <c r="AO87" s="225">
        <v>200</v>
      </c>
      <c r="AP87" s="68">
        <v>-921</v>
      </c>
      <c r="AQ87" s="17">
        <v>-721</v>
      </c>
      <c r="AR87" s="68">
        <v>200</v>
      </c>
      <c r="AS87" s="68">
        <v>0</v>
      </c>
      <c r="AT87" s="17">
        <v>200</v>
      </c>
    </row>
    <row r="88" spans="4:46" outlineLevel="1">
      <c r="D88" s="18" t="s">
        <v>27</v>
      </c>
      <c r="E88" s="225">
        <f t="shared" si="34"/>
        <v>320</v>
      </c>
      <c r="F88" s="68">
        <f t="shared" si="35"/>
        <v>-2421.8000000000002</v>
      </c>
      <c r="G88" s="68">
        <f t="shared" si="36"/>
        <v>-2101.8000000000002</v>
      </c>
      <c r="H88" s="292">
        <f t="shared" si="38"/>
        <v>7.5681250000000002</v>
      </c>
      <c r="J88" s="18" t="s">
        <v>27</v>
      </c>
      <c r="K88" s="225">
        <v>120</v>
      </c>
      <c r="L88" s="68">
        <v>-116.23</v>
      </c>
      <c r="M88" s="17">
        <v>3.769999999999996</v>
      </c>
      <c r="N88" s="225">
        <v>0</v>
      </c>
      <c r="O88" s="68">
        <v>-250</v>
      </c>
      <c r="P88" s="17">
        <v>-250</v>
      </c>
      <c r="Q88" s="225">
        <v>0</v>
      </c>
      <c r="R88" s="68">
        <v>-1380</v>
      </c>
      <c r="S88" s="17">
        <v>-1380</v>
      </c>
      <c r="T88" s="225">
        <v>200</v>
      </c>
      <c r="U88" s="68">
        <v>-233.88</v>
      </c>
      <c r="V88" s="17">
        <v>-33.879999999999995</v>
      </c>
      <c r="W88" s="225">
        <v>0</v>
      </c>
      <c r="X88" s="68">
        <v>0</v>
      </c>
      <c r="Y88" s="17">
        <v>0</v>
      </c>
      <c r="Z88" s="225">
        <v>0</v>
      </c>
      <c r="AA88" s="68">
        <v>-175</v>
      </c>
      <c r="AB88" s="68">
        <v>-175</v>
      </c>
      <c r="AC88" s="225">
        <v>0</v>
      </c>
      <c r="AD88" s="68">
        <v>0</v>
      </c>
      <c r="AE88" s="68">
        <v>0</v>
      </c>
      <c r="AF88" s="225">
        <v>0</v>
      </c>
      <c r="AG88" s="68">
        <v>0</v>
      </c>
      <c r="AH88" s="17">
        <v>0</v>
      </c>
      <c r="AI88" s="225">
        <v>0</v>
      </c>
      <c r="AJ88" s="68">
        <v>0</v>
      </c>
      <c r="AK88" s="17">
        <v>0</v>
      </c>
      <c r="AL88" s="225">
        <v>0</v>
      </c>
      <c r="AM88" s="68">
        <v>0</v>
      </c>
      <c r="AN88" s="17">
        <v>0</v>
      </c>
      <c r="AO88" s="225">
        <v>0</v>
      </c>
      <c r="AP88" s="68">
        <v>-199.69</v>
      </c>
      <c r="AQ88" s="17">
        <v>-199.69</v>
      </c>
      <c r="AR88" s="68">
        <v>0</v>
      </c>
      <c r="AS88" s="68">
        <v>-67</v>
      </c>
      <c r="AT88" s="17">
        <v>-67</v>
      </c>
    </row>
    <row r="89" spans="4:46" outlineLevel="1">
      <c r="D89" s="30" t="s">
        <v>28</v>
      </c>
      <c r="E89" s="225">
        <f t="shared" si="34"/>
        <v>10220</v>
      </c>
      <c r="F89" s="68">
        <f t="shared" si="35"/>
        <v>-4334</v>
      </c>
      <c r="G89" s="68">
        <f t="shared" si="36"/>
        <v>5886</v>
      </c>
      <c r="H89" s="293">
        <f t="shared" si="38"/>
        <v>0.42407045009784738</v>
      </c>
      <c r="J89" s="30" t="str">
        <f>D89</f>
        <v>Baby Sitter</v>
      </c>
      <c r="K89" s="226">
        <v>120</v>
      </c>
      <c r="L89" s="227">
        <v>0</v>
      </c>
      <c r="M89" s="228">
        <v>120</v>
      </c>
      <c r="N89" s="226">
        <v>0</v>
      </c>
      <c r="O89" s="227">
        <v>0</v>
      </c>
      <c r="P89" s="228">
        <v>0</v>
      </c>
      <c r="Q89" s="227">
        <v>1000</v>
      </c>
      <c r="R89" s="227">
        <v>-1380</v>
      </c>
      <c r="S89" s="228">
        <v>-380</v>
      </c>
      <c r="T89" s="226">
        <v>1000</v>
      </c>
      <c r="U89" s="227">
        <v>-920</v>
      </c>
      <c r="V89" s="228">
        <v>80</v>
      </c>
      <c r="W89" s="226">
        <v>900</v>
      </c>
      <c r="X89" s="227">
        <v>-638</v>
      </c>
      <c r="Y89" s="228">
        <v>262</v>
      </c>
      <c r="Z89" s="226">
        <v>900</v>
      </c>
      <c r="AA89" s="227">
        <v>-1196</v>
      </c>
      <c r="AB89" s="227">
        <v>-296</v>
      </c>
      <c r="AC89" s="226">
        <v>200</v>
      </c>
      <c r="AD89" s="227">
        <v>-200</v>
      </c>
      <c r="AE89" s="227">
        <v>0</v>
      </c>
      <c r="AF89" s="225">
        <v>900</v>
      </c>
      <c r="AG89" s="68">
        <v>0</v>
      </c>
      <c r="AH89" s="17">
        <v>900</v>
      </c>
      <c r="AI89" s="225">
        <v>800</v>
      </c>
      <c r="AJ89" s="68">
        <v>0</v>
      </c>
      <c r="AK89" s="17">
        <v>800</v>
      </c>
      <c r="AL89" s="225">
        <v>1800</v>
      </c>
      <c r="AM89" s="68">
        <v>0</v>
      </c>
      <c r="AN89" s="17">
        <v>1800</v>
      </c>
      <c r="AO89" s="225">
        <v>1800</v>
      </c>
      <c r="AP89" s="68">
        <v>0</v>
      </c>
      <c r="AQ89" s="17">
        <v>800</v>
      </c>
      <c r="AR89" s="68">
        <v>800</v>
      </c>
      <c r="AS89" s="68">
        <v>0</v>
      </c>
      <c r="AT89" s="17">
        <v>800</v>
      </c>
    </row>
    <row r="90" spans="4:46" outlineLevel="1">
      <c r="D90" s="75" t="s">
        <v>29</v>
      </c>
      <c r="E90" s="269">
        <f>SUM(E69:E89)</f>
        <v>139429</v>
      </c>
      <c r="F90" s="269">
        <f>SUM(F69:F89)</f>
        <v>-178085.14999999997</v>
      </c>
      <c r="G90" s="270">
        <f>SUM(G69:G88)</f>
        <v>-44542.15</v>
      </c>
      <c r="J90" s="75" t="s">
        <v>29</v>
      </c>
      <c r="K90" s="226">
        <v>11980</v>
      </c>
      <c r="L90" s="227">
        <v>-11685.16</v>
      </c>
      <c r="M90" s="228">
        <v>294.83999999999975</v>
      </c>
      <c r="N90" s="226">
        <v>11140</v>
      </c>
      <c r="O90" s="227">
        <v>-14523.949999999999</v>
      </c>
      <c r="P90" s="228">
        <v>-3383.95</v>
      </c>
      <c r="Q90" s="227">
        <v>9786.2000000000007</v>
      </c>
      <c r="R90" s="227">
        <v>-13304.97</v>
      </c>
      <c r="S90" s="228">
        <v>-3518.7700000000004</v>
      </c>
      <c r="T90" s="226">
        <v>11160</v>
      </c>
      <c r="U90" s="227">
        <v>-12070.8</v>
      </c>
      <c r="V90" s="228">
        <v>-910.80000000000007</v>
      </c>
      <c r="W90" s="226">
        <v>10490</v>
      </c>
      <c r="X90" s="227">
        <v>-12587</v>
      </c>
      <c r="Y90" s="228">
        <v>-2097</v>
      </c>
      <c r="Z90" s="226">
        <v>9660</v>
      </c>
      <c r="AA90" s="227">
        <v>-22224</v>
      </c>
      <c r="AB90" s="228">
        <v>-12564</v>
      </c>
      <c r="AC90" s="226">
        <v>10810</v>
      </c>
      <c r="AD90" s="227">
        <v>-16286.93</v>
      </c>
      <c r="AE90" s="227">
        <v>-5476.93</v>
      </c>
      <c r="AF90" s="229">
        <v>17394</v>
      </c>
      <c r="AG90" s="230">
        <v>-17913</v>
      </c>
      <c r="AH90" s="231">
        <v>-509</v>
      </c>
      <c r="AI90" s="232">
        <v>14177.2</v>
      </c>
      <c r="AJ90" s="233">
        <v>-15556</v>
      </c>
      <c r="AK90" s="234">
        <v>-1378.8000000000002</v>
      </c>
      <c r="AL90" s="232">
        <v>10927.2</v>
      </c>
      <c r="AM90" s="233">
        <v>-12474.24</v>
      </c>
      <c r="AN90" s="234">
        <v>10927.2</v>
      </c>
      <c r="AO90" s="232">
        <v>10927.2</v>
      </c>
      <c r="AP90" s="233">
        <v>-13051.1</v>
      </c>
      <c r="AQ90" s="234">
        <v>-1300.0999999999999</v>
      </c>
      <c r="AR90" s="232">
        <v>10977.2</v>
      </c>
      <c r="AS90" s="233">
        <v>-16408</v>
      </c>
      <c r="AT90" s="234">
        <v>-5430.8</v>
      </c>
    </row>
    <row r="91" spans="4:46" outlineLevel="2">
      <c r="E91" s="705">
        <v>2023</v>
      </c>
      <c r="F91" s="706"/>
      <c r="G91" s="707"/>
      <c r="J91" s="58">
        <f>E91</f>
        <v>2023</v>
      </c>
      <c r="K91" s="702">
        <v>44927</v>
      </c>
      <c r="L91" s="703"/>
      <c r="M91" s="704"/>
      <c r="N91" s="702">
        <v>44958</v>
      </c>
      <c r="O91" s="703"/>
      <c r="P91" s="704"/>
      <c r="Q91" s="702">
        <v>44986</v>
      </c>
      <c r="R91" s="708"/>
      <c r="S91" s="709"/>
      <c r="T91" s="702">
        <v>45017</v>
      </c>
      <c r="U91" s="703"/>
      <c r="V91" s="704"/>
      <c r="W91" s="702">
        <v>45047</v>
      </c>
      <c r="X91" s="708"/>
      <c r="Y91" s="709"/>
      <c r="Z91" s="702">
        <v>45078</v>
      </c>
      <c r="AA91" s="703"/>
      <c r="AB91" s="704"/>
      <c r="AC91" s="702">
        <v>45108</v>
      </c>
      <c r="AD91" s="708"/>
      <c r="AE91" s="709"/>
      <c r="AF91" s="702">
        <v>45139</v>
      </c>
      <c r="AG91" s="703"/>
      <c r="AH91" s="704"/>
      <c r="AI91" s="702">
        <v>45170</v>
      </c>
      <c r="AJ91" s="703"/>
      <c r="AK91" s="704"/>
      <c r="AL91" s="702">
        <v>45200</v>
      </c>
      <c r="AM91" s="703"/>
      <c r="AN91" s="704"/>
      <c r="AO91" s="702">
        <v>45231</v>
      </c>
      <c r="AP91" s="703"/>
      <c r="AQ91" s="704"/>
      <c r="AR91" s="702">
        <v>45261</v>
      </c>
      <c r="AS91" s="703"/>
      <c r="AT91" s="704"/>
    </row>
    <row r="92" spans="4:46" ht="13.5" outlineLevel="2" thickBot="1">
      <c r="D92" s="106" t="s">
        <v>7</v>
      </c>
      <c r="E92" s="60" t="s">
        <v>60</v>
      </c>
      <c r="F92" s="61" t="s">
        <v>61</v>
      </c>
      <c r="G92" s="62" t="s">
        <v>62</v>
      </c>
      <c r="H92" s="63" t="s">
        <v>73</v>
      </c>
      <c r="J92" s="106" t="s">
        <v>7</v>
      </c>
      <c r="K92" s="60" t="s">
        <v>60</v>
      </c>
      <c r="L92" s="61" t="s">
        <v>61</v>
      </c>
      <c r="M92" s="62" t="s">
        <v>62</v>
      </c>
      <c r="N92" s="60" t="s">
        <v>60</v>
      </c>
      <c r="O92" s="61" t="s">
        <v>61</v>
      </c>
      <c r="P92" s="61" t="s">
        <v>62</v>
      </c>
      <c r="Q92" s="60" t="s">
        <v>60</v>
      </c>
      <c r="R92" s="61" t="s">
        <v>61</v>
      </c>
      <c r="S92" s="62" t="s">
        <v>62</v>
      </c>
      <c r="T92" s="60" t="s">
        <v>60</v>
      </c>
      <c r="U92" s="61" t="s">
        <v>61</v>
      </c>
      <c r="V92" s="62" t="s">
        <v>62</v>
      </c>
      <c r="W92" s="60" t="s">
        <v>60</v>
      </c>
      <c r="X92" s="61" t="s">
        <v>61</v>
      </c>
      <c r="Y92" s="62" t="s">
        <v>62</v>
      </c>
      <c r="Z92" s="60" t="s">
        <v>60</v>
      </c>
      <c r="AA92" s="61" t="s">
        <v>61</v>
      </c>
      <c r="AB92" s="62" t="s">
        <v>62</v>
      </c>
      <c r="AC92" s="60" t="s">
        <v>60</v>
      </c>
      <c r="AD92" s="61" t="s">
        <v>61</v>
      </c>
      <c r="AE92" s="62" t="s">
        <v>62</v>
      </c>
      <c r="AF92" s="60" t="s">
        <v>60</v>
      </c>
      <c r="AG92" s="61" t="s">
        <v>61</v>
      </c>
      <c r="AH92" s="62" t="s">
        <v>62</v>
      </c>
      <c r="AI92" s="60" t="s">
        <v>60</v>
      </c>
      <c r="AJ92" s="61" t="s">
        <v>61</v>
      </c>
      <c r="AK92" s="62" t="s">
        <v>62</v>
      </c>
      <c r="AL92" s="60" t="s">
        <v>60</v>
      </c>
      <c r="AM92" s="61" t="s">
        <v>61</v>
      </c>
      <c r="AN92" s="62" t="s">
        <v>62</v>
      </c>
      <c r="AO92" s="60" t="s">
        <v>60</v>
      </c>
      <c r="AP92" s="61" t="s">
        <v>61</v>
      </c>
      <c r="AQ92" s="62" t="s">
        <v>62</v>
      </c>
      <c r="AR92" s="60" t="s">
        <v>60</v>
      </c>
      <c r="AS92" s="61" t="s">
        <v>61</v>
      </c>
      <c r="AT92" s="62" t="s">
        <v>62</v>
      </c>
    </row>
    <row r="93" spans="4:46" outlineLevel="2">
      <c r="D93" s="79" t="s">
        <v>8</v>
      </c>
      <c r="E93" s="267">
        <v>4200</v>
      </c>
      <c r="F93" s="65">
        <v>-2037.1999999999998</v>
      </c>
      <c r="G93" s="77">
        <f t="shared" ref="G93:G113" si="39">E93+F93</f>
        <v>2162.8000000000002</v>
      </c>
      <c r="H93" s="66">
        <v>0.40219047619047615</v>
      </c>
      <c r="I93" s="107"/>
      <c r="J93" s="64" t="s">
        <v>8</v>
      </c>
      <c r="K93" s="65">
        <v>350</v>
      </c>
      <c r="L93" s="65">
        <v>-236</v>
      </c>
      <c r="M93" s="77">
        <v>114</v>
      </c>
      <c r="N93" s="65">
        <v>350</v>
      </c>
      <c r="O93" s="65">
        <v>-148</v>
      </c>
      <c r="P93" s="77">
        <v>202</v>
      </c>
      <c r="Q93" s="65">
        <v>350</v>
      </c>
      <c r="R93" s="65">
        <v>-160</v>
      </c>
      <c r="S93" s="77">
        <v>190</v>
      </c>
      <c r="T93" s="65">
        <v>350</v>
      </c>
      <c r="U93" s="65">
        <v>-143</v>
      </c>
      <c r="V93" s="77">
        <v>207</v>
      </c>
      <c r="W93" s="65">
        <v>350</v>
      </c>
      <c r="X93" s="65">
        <v>-60</v>
      </c>
      <c r="Y93" s="77">
        <v>290</v>
      </c>
      <c r="Z93" s="65">
        <v>350</v>
      </c>
      <c r="AA93" s="65">
        <v>-209.26999999999998</v>
      </c>
      <c r="AB93" s="65">
        <v>140.73000000000002</v>
      </c>
      <c r="AC93" s="65">
        <v>350</v>
      </c>
      <c r="AD93" s="65">
        <v>-152.32999999999998</v>
      </c>
      <c r="AE93" s="77">
        <v>197.67000000000002</v>
      </c>
      <c r="AF93" s="65">
        <v>350</v>
      </c>
      <c r="AG93" s="65">
        <v>-120</v>
      </c>
      <c r="AH93" s="77">
        <v>230</v>
      </c>
      <c r="AI93" s="65">
        <v>350</v>
      </c>
      <c r="AJ93" s="65">
        <v>-112</v>
      </c>
      <c r="AK93" s="77">
        <v>238</v>
      </c>
      <c r="AL93" s="65">
        <v>350</v>
      </c>
      <c r="AM93" s="65">
        <v>-288.60000000000002</v>
      </c>
      <c r="AN93" s="77">
        <v>61.399999999999977</v>
      </c>
      <c r="AO93" s="65">
        <v>350</v>
      </c>
      <c r="AP93" s="65">
        <v>-138</v>
      </c>
      <c r="AQ93" s="77">
        <v>212</v>
      </c>
      <c r="AR93" s="65">
        <v>350</v>
      </c>
      <c r="AS93" s="65">
        <v>-270</v>
      </c>
      <c r="AT93" s="77">
        <v>80</v>
      </c>
    </row>
    <row r="94" spans="4:46" outlineLevel="2">
      <c r="D94" s="18" t="s">
        <v>9</v>
      </c>
      <c r="E94" s="225">
        <v>2400</v>
      </c>
      <c r="F94" s="68">
        <v>-2349.59</v>
      </c>
      <c r="G94" s="17">
        <f t="shared" si="39"/>
        <v>50.409999999999854</v>
      </c>
      <c r="H94" s="69">
        <v>0.9789958333333334</v>
      </c>
      <c r="J94" s="67" t="s">
        <v>9</v>
      </c>
      <c r="K94" s="225">
        <v>200</v>
      </c>
      <c r="L94" s="68">
        <v>0</v>
      </c>
      <c r="M94" s="17">
        <v>200</v>
      </c>
      <c r="N94" s="225">
        <v>200</v>
      </c>
      <c r="O94" s="68">
        <v>-154.91999999999999</v>
      </c>
      <c r="P94" s="17">
        <v>45.080000000000013</v>
      </c>
      <c r="Q94" s="225">
        <v>200</v>
      </c>
      <c r="R94" s="68">
        <v>-154</v>
      </c>
      <c r="S94" s="17">
        <v>46</v>
      </c>
      <c r="T94" s="225">
        <v>200</v>
      </c>
      <c r="U94" s="68">
        <v>0</v>
      </c>
      <c r="V94" s="17">
        <v>200</v>
      </c>
      <c r="W94" s="225">
        <v>200</v>
      </c>
      <c r="X94" s="68">
        <v>-322</v>
      </c>
      <c r="Y94" s="17">
        <v>-122</v>
      </c>
      <c r="Z94" s="225">
        <v>200</v>
      </c>
      <c r="AA94" s="68">
        <v>-322</v>
      </c>
      <c r="AB94" s="68">
        <v>-122</v>
      </c>
      <c r="AC94" s="225">
        <v>200</v>
      </c>
      <c r="AD94" s="68">
        <v>-321.67</v>
      </c>
      <c r="AE94" s="17">
        <v>-121.67000000000002</v>
      </c>
      <c r="AF94" s="225">
        <v>200</v>
      </c>
      <c r="AG94" s="68">
        <v>-273</v>
      </c>
      <c r="AH94" s="17">
        <v>-73</v>
      </c>
      <c r="AI94" s="225">
        <v>200</v>
      </c>
      <c r="AJ94" s="68">
        <v>-269</v>
      </c>
      <c r="AK94" s="17">
        <v>-69</v>
      </c>
      <c r="AL94" s="225">
        <v>200</v>
      </c>
      <c r="AM94" s="68">
        <v>-270</v>
      </c>
      <c r="AN94" s="17">
        <v>-70</v>
      </c>
      <c r="AO94" s="225">
        <v>200</v>
      </c>
      <c r="AP94" s="68">
        <v>-263</v>
      </c>
      <c r="AQ94" s="17">
        <v>-63</v>
      </c>
      <c r="AR94" s="68">
        <v>200</v>
      </c>
      <c r="AS94" s="68">
        <v>0</v>
      </c>
      <c r="AT94" s="17">
        <v>200</v>
      </c>
    </row>
    <row r="95" spans="4:46" outlineLevel="2">
      <c r="D95" s="18" t="s">
        <v>10</v>
      </c>
      <c r="E95" s="225">
        <v>160</v>
      </c>
      <c r="F95" s="68">
        <v>0</v>
      </c>
      <c r="G95" s="17">
        <f t="shared" si="39"/>
        <v>160</v>
      </c>
      <c r="H95" s="69">
        <v>0</v>
      </c>
      <c r="J95" s="67" t="s">
        <v>10</v>
      </c>
      <c r="K95" s="225">
        <v>20</v>
      </c>
      <c r="L95" s="68">
        <v>0</v>
      </c>
      <c r="M95" s="17">
        <v>20</v>
      </c>
      <c r="N95" s="225">
        <v>20</v>
      </c>
      <c r="O95" s="68">
        <v>0</v>
      </c>
      <c r="P95" s="17">
        <v>20</v>
      </c>
      <c r="Q95" s="225">
        <v>20</v>
      </c>
      <c r="R95" s="68">
        <v>0</v>
      </c>
      <c r="S95" s="17">
        <v>20</v>
      </c>
      <c r="T95" s="225">
        <v>20</v>
      </c>
      <c r="U95" s="68">
        <v>0</v>
      </c>
      <c r="V95" s="17">
        <v>20</v>
      </c>
      <c r="W95" s="225">
        <v>20</v>
      </c>
      <c r="X95" s="68">
        <v>0</v>
      </c>
      <c r="Y95" s="17">
        <v>20</v>
      </c>
      <c r="Z95" s="225">
        <v>20</v>
      </c>
      <c r="AA95" s="68">
        <v>0</v>
      </c>
      <c r="AB95" s="68">
        <v>20</v>
      </c>
      <c r="AC95" s="225">
        <v>20</v>
      </c>
      <c r="AD95" s="68">
        <v>0</v>
      </c>
      <c r="AE95" s="17">
        <v>20</v>
      </c>
      <c r="AF95" s="225">
        <v>20</v>
      </c>
      <c r="AG95" s="68">
        <v>0</v>
      </c>
      <c r="AH95" s="17">
        <v>20</v>
      </c>
      <c r="AI95" s="225">
        <v>0</v>
      </c>
      <c r="AJ95" s="68">
        <v>0</v>
      </c>
      <c r="AK95" s="17">
        <v>0</v>
      </c>
      <c r="AL95" s="225">
        <v>0</v>
      </c>
      <c r="AM95" s="68">
        <v>0</v>
      </c>
      <c r="AN95" s="17">
        <v>0</v>
      </c>
      <c r="AO95" s="225">
        <v>0</v>
      </c>
      <c r="AP95" s="68">
        <v>0</v>
      </c>
      <c r="AQ95" s="17">
        <v>0</v>
      </c>
      <c r="AR95" s="68">
        <v>0</v>
      </c>
      <c r="AS95" s="68">
        <v>0</v>
      </c>
      <c r="AT95" s="17">
        <v>0</v>
      </c>
    </row>
    <row r="96" spans="4:46" outlineLevel="2">
      <c r="D96" s="18" t="s">
        <v>11</v>
      </c>
      <c r="E96" s="225">
        <v>1080</v>
      </c>
      <c r="F96" s="68">
        <v>-1865.7</v>
      </c>
      <c r="G96" s="17">
        <f t="shared" si="39"/>
        <v>-785.7</v>
      </c>
      <c r="H96" s="69">
        <v>1.202962962962963</v>
      </c>
      <c r="J96" s="67" t="s">
        <v>11</v>
      </c>
      <c r="K96" s="225">
        <v>300</v>
      </c>
      <c r="L96" s="68">
        <v>-282</v>
      </c>
      <c r="M96" s="17">
        <v>18</v>
      </c>
      <c r="N96" s="225">
        <v>300</v>
      </c>
      <c r="O96" s="68">
        <v>0</v>
      </c>
      <c r="P96" s="17">
        <v>300</v>
      </c>
      <c r="Q96" s="225">
        <v>20</v>
      </c>
      <c r="R96" s="68">
        <v>0</v>
      </c>
      <c r="S96" s="17">
        <v>20</v>
      </c>
      <c r="T96" s="225">
        <v>20</v>
      </c>
      <c r="U96" s="68">
        <v>0</v>
      </c>
      <c r="V96" s="17">
        <v>20</v>
      </c>
      <c r="W96" s="225">
        <v>300</v>
      </c>
      <c r="X96" s="68">
        <v>-537</v>
      </c>
      <c r="Y96" s="17">
        <v>-237</v>
      </c>
      <c r="Z96" s="225">
        <v>20</v>
      </c>
      <c r="AA96" s="68">
        <v>-121</v>
      </c>
      <c r="AB96" s="68">
        <v>-101</v>
      </c>
      <c r="AC96" s="225">
        <v>20</v>
      </c>
      <c r="AD96" s="68">
        <v>-200</v>
      </c>
      <c r="AE96" s="17">
        <v>-180</v>
      </c>
      <c r="AF96" s="225">
        <v>20</v>
      </c>
      <c r="AG96" s="68">
        <v>0</v>
      </c>
      <c r="AH96" s="17">
        <v>20</v>
      </c>
      <c r="AI96" s="225">
        <v>20</v>
      </c>
      <c r="AJ96" s="68">
        <v>0</v>
      </c>
      <c r="AK96" s="17">
        <v>20</v>
      </c>
      <c r="AL96" s="225">
        <v>20</v>
      </c>
      <c r="AM96" s="68">
        <v>-159.19999999999999</v>
      </c>
      <c r="AN96" s="17">
        <v>-139.19999999999999</v>
      </c>
      <c r="AO96" s="225">
        <v>20</v>
      </c>
      <c r="AP96" s="68">
        <v>0</v>
      </c>
      <c r="AQ96" s="17">
        <v>20</v>
      </c>
      <c r="AR96" s="68">
        <v>20</v>
      </c>
      <c r="AS96" s="68">
        <v>-566.5</v>
      </c>
      <c r="AT96" s="17">
        <v>-546.5</v>
      </c>
    </row>
    <row r="97" spans="4:46" outlineLevel="2">
      <c r="D97" s="18" t="s">
        <v>12</v>
      </c>
      <c r="E97" s="225">
        <v>4200</v>
      </c>
      <c r="F97" s="68">
        <v>-7082.98</v>
      </c>
      <c r="G97" s="17">
        <f t="shared" si="39"/>
        <v>-2882.9799999999996</v>
      </c>
      <c r="H97" s="69">
        <v>1.5073809523809523</v>
      </c>
      <c r="J97" s="67" t="s">
        <v>12</v>
      </c>
      <c r="K97" s="225">
        <v>400</v>
      </c>
      <c r="L97" s="68">
        <v>-528</v>
      </c>
      <c r="M97" s="17">
        <v>-128</v>
      </c>
      <c r="N97" s="225">
        <v>400</v>
      </c>
      <c r="O97" s="68">
        <v>-670.18000000000006</v>
      </c>
      <c r="P97" s="17">
        <v>-270.18000000000006</v>
      </c>
      <c r="Q97" s="225">
        <v>400</v>
      </c>
      <c r="R97" s="68">
        <v>-699</v>
      </c>
      <c r="S97" s="17">
        <v>-299</v>
      </c>
      <c r="T97" s="225">
        <v>400</v>
      </c>
      <c r="U97" s="68">
        <v>-651.07000000000005</v>
      </c>
      <c r="V97" s="17">
        <v>-251.07000000000005</v>
      </c>
      <c r="W97" s="225">
        <v>400</v>
      </c>
      <c r="X97" s="68">
        <v>-527.14</v>
      </c>
      <c r="Y97" s="17">
        <v>-127.13999999999999</v>
      </c>
      <c r="Z97" s="225">
        <v>400</v>
      </c>
      <c r="AA97" s="68">
        <v>-701</v>
      </c>
      <c r="AB97" s="68">
        <v>-301</v>
      </c>
      <c r="AC97" s="225">
        <v>400</v>
      </c>
      <c r="AD97" s="68">
        <v>-571</v>
      </c>
      <c r="AE97" s="17">
        <v>-171</v>
      </c>
      <c r="AF97" s="225">
        <v>400</v>
      </c>
      <c r="AG97" s="68">
        <v>-643.61</v>
      </c>
      <c r="AH97" s="17">
        <v>-243.61</v>
      </c>
      <c r="AI97" s="225">
        <v>400</v>
      </c>
      <c r="AJ97" s="68">
        <v>-573</v>
      </c>
      <c r="AK97" s="17">
        <v>-173</v>
      </c>
      <c r="AL97" s="225">
        <v>400</v>
      </c>
      <c r="AM97" s="68">
        <v>-705</v>
      </c>
      <c r="AN97" s="17">
        <v>-305</v>
      </c>
      <c r="AO97" s="225">
        <v>100</v>
      </c>
      <c r="AP97" s="68">
        <v>-62</v>
      </c>
      <c r="AQ97" s="17">
        <v>38</v>
      </c>
      <c r="AR97" s="68">
        <v>100</v>
      </c>
      <c r="AS97" s="68">
        <v>-751.98</v>
      </c>
      <c r="AT97" s="17">
        <v>-651.98</v>
      </c>
    </row>
    <row r="98" spans="4:46" outlineLevel="2">
      <c r="D98" s="18" t="s">
        <v>13</v>
      </c>
      <c r="E98" s="225">
        <v>10950</v>
      </c>
      <c r="F98" s="68">
        <v>-15350.630000000001</v>
      </c>
      <c r="G98" s="17">
        <f t="shared" si="39"/>
        <v>-4400.630000000001</v>
      </c>
      <c r="H98" s="69">
        <v>1.3763132420091324</v>
      </c>
      <c r="J98" s="67" t="s">
        <v>13</v>
      </c>
      <c r="K98" s="225">
        <v>750</v>
      </c>
      <c r="L98" s="68">
        <v>-1631.26</v>
      </c>
      <c r="M98" s="17">
        <v>-881.26</v>
      </c>
      <c r="N98" s="225">
        <v>750</v>
      </c>
      <c r="O98" s="68">
        <v>-1266.58</v>
      </c>
      <c r="P98" s="17">
        <v>-516.57999999999993</v>
      </c>
      <c r="Q98" s="225">
        <v>1200</v>
      </c>
      <c r="R98" s="68">
        <v>-1620.33</v>
      </c>
      <c r="S98" s="17">
        <v>-420.32999999999993</v>
      </c>
      <c r="T98" s="225">
        <v>1500</v>
      </c>
      <c r="U98" s="68">
        <v>-2063.94</v>
      </c>
      <c r="V98" s="17">
        <v>-563.94000000000005</v>
      </c>
      <c r="W98" s="225">
        <v>1500</v>
      </c>
      <c r="X98" s="68">
        <v>-1394</v>
      </c>
      <c r="Y98" s="17">
        <v>106</v>
      </c>
      <c r="Z98" s="225">
        <v>750</v>
      </c>
      <c r="AA98" s="68">
        <v>-1025.99</v>
      </c>
      <c r="AB98" s="68">
        <v>-275.99</v>
      </c>
      <c r="AC98" s="225">
        <v>750</v>
      </c>
      <c r="AD98" s="68">
        <v>-1380</v>
      </c>
      <c r="AE98" s="17">
        <v>-630</v>
      </c>
      <c r="AF98" s="225">
        <v>750</v>
      </c>
      <c r="AG98" s="68">
        <v>-1458.03</v>
      </c>
      <c r="AH98" s="17">
        <v>-708.03</v>
      </c>
      <c r="AI98" s="225">
        <v>750</v>
      </c>
      <c r="AJ98" s="68">
        <v>-1421.66</v>
      </c>
      <c r="AK98" s="17">
        <v>-671.66000000000008</v>
      </c>
      <c r="AL98" s="225">
        <v>750</v>
      </c>
      <c r="AM98" s="68">
        <v>-1566</v>
      </c>
      <c r="AN98" s="17">
        <v>-816</v>
      </c>
      <c r="AO98" s="225">
        <v>750</v>
      </c>
      <c r="AP98" s="68">
        <v>-322.84000000000003</v>
      </c>
      <c r="AQ98" s="17">
        <v>427.15999999999997</v>
      </c>
      <c r="AR98" s="68">
        <v>750</v>
      </c>
      <c r="AS98" s="68">
        <v>-200</v>
      </c>
      <c r="AT98" s="17">
        <v>550</v>
      </c>
    </row>
    <row r="99" spans="4:46" outlineLevel="2">
      <c r="D99" s="47" t="s">
        <v>14</v>
      </c>
      <c r="E99" s="225">
        <v>1200</v>
      </c>
      <c r="F99" s="68">
        <v>-2512</v>
      </c>
      <c r="G99" s="17">
        <f t="shared" si="39"/>
        <v>-1312</v>
      </c>
      <c r="H99" s="69">
        <v>2.0933333333333333</v>
      </c>
      <c r="J99" s="70" t="s">
        <v>14</v>
      </c>
      <c r="K99" s="225">
        <v>100</v>
      </c>
      <c r="L99" s="68">
        <v>-105</v>
      </c>
      <c r="M99" s="17">
        <v>-5</v>
      </c>
      <c r="N99" s="225">
        <v>100</v>
      </c>
      <c r="O99" s="68">
        <v>-162</v>
      </c>
      <c r="P99" s="17">
        <v>-62</v>
      </c>
      <c r="Q99" s="225">
        <v>100</v>
      </c>
      <c r="R99" s="68">
        <v>-344</v>
      </c>
      <c r="S99" s="17">
        <v>-244</v>
      </c>
      <c r="T99" s="225">
        <v>100</v>
      </c>
      <c r="U99" s="68">
        <v>-186</v>
      </c>
      <c r="V99" s="17">
        <v>-86</v>
      </c>
      <c r="W99" s="225">
        <v>100</v>
      </c>
      <c r="X99" s="68">
        <v>-80</v>
      </c>
      <c r="Y99" s="17">
        <v>20</v>
      </c>
      <c r="Z99" s="225">
        <v>100</v>
      </c>
      <c r="AA99" s="68">
        <v>-150</v>
      </c>
      <c r="AB99" s="68">
        <v>-50</v>
      </c>
      <c r="AC99" s="225">
        <v>100</v>
      </c>
      <c r="AD99" s="68">
        <v>-120</v>
      </c>
      <c r="AE99" s="17">
        <v>-20</v>
      </c>
      <c r="AF99" s="225">
        <v>100</v>
      </c>
      <c r="AG99" s="68">
        <v>-216</v>
      </c>
      <c r="AH99" s="17">
        <v>-116</v>
      </c>
      <c r="AI99" s="225">
        <v>100</v>
      </c>
      <c r="AJ99" s="68">
        <v>-766</v>
      </c>
      <c r="AK99" s="17">
        <v>-666</v>
      </c>
      <c r="AL99" s="225">
        <v>100</v>
      </c>
      <c r="AM99" s="68">
        <v>-383</v>
      </c>
      <c r="AN99" s="17">
        <v>-283</v>
      </c>
      <c r="AO99" s="225">
        <v>100</v>
      </c>
      <c r="AP99" s="68">
        <v>0</v>
      </c>
      <c r="AQ99" s="17">
        <v>100</v>
      </c>
      <c r="AR99" s="68">
        <v>100</v>
      </c>
      <c r="AS99" s="68">
        <v>0</v>
      </c>
      <c r="AT99" s="17">
        <v>100</v>
      </c>
    </row>
    <row r="100" spans="4:46" outlineLevel="2">
      <c r="D100" s="18" t="s">
        <v>15</v>
      </c>
      <c r="E100" s="225">
        <v>3600</v>
      </c>
      <c r="F100" s="68">
        <v>-2735.74</v>
      </c>
      <c r="G100" s="17">
        <f t="shared" si="39"/>
        <v>864.26000000000022</v>
      </c>
      <c r="H100" s="69">
        <v>0.64520555555555548</v>
      </c>
      <c r="J100" s="67" t="s">
        <v>15</v>
      </c>
      <c r="K100" s="225">
        <v>300</v>
      </c>
      <c r="L100" s="68">
        <v>-438.15</v>
      </c>
      <c r="M100" s="17">
        <v>-138.14999999999998</v>
      </c>
      <c r="N100" s="225">
        <v>300</v>
      </c>
      <c r="O100" s="68">
        <v>-143</v>
      </c>
      <c r="P100" s="17">
        <v>157</v>
      </c>
      <c r="Q100" s="225">
        <v>300</v>
      </c>
      <c r="R100" s="68">
        <v>-437.33</v>
      </c>
      <c r="S100" s="17">
        <v>-137.32999999999998</v>
      </c>
      <c r="T100" s="225">
        <v>300</v>
      </c>
      <c r="U100" s="68">
        <v>-150</v>
      </c>
      <c r="V100" s="17">
        <v>150</v>
      </c>
      <c r="W100" s="225">
        <v>300</v>
      </c>
      <c r="X100" s="68">
        <v>-217</v>
      </c>
      <c r="Y100" s="17">
        <v>83</v>
      </c>
      <c r="Z100" s="225">
        <v>300</v>
      </c>
      <c r="AA100" s="68">
        <v>-210</v>
      </c>
      <c r="AB100" s="68">
        <v>90</v>
      </c>
      <c r="AC100" s="225">
        <v>300</v>
      </c>
      <c r="AD100" s="68">
        <v>-200</v>
      </c>
      <c r="AE100" s="17">
        <v>100</v>
      </c>
      <c r="AF100" s="225">
        <v>300</v>
      </c>
      <c r="AG100" s="68">
        <v>0</v>
      </c>
      <c r="AH100" s="17">
        <v>300</v>
      </c>
      <c r="AI100" s="225">
        <v>300</v>
      </c>
      <c r="AJ100" s="68">
        <v>-188.26</v>
      </c>
      <c r="AK100" s="17">
        <v>111.74000000000001</v>
      </c>
      <c r="AL100" s="225">
        <v>300</v>
      </c>
      <c r="AM100" s="68">
        <v>-339</v>
      </c>
      <c r="AN100" s="17">
        <v>-39</v>
      </c>
      <c r="AO100" s="225">
        <v>300</v>
      </c>
      <c r="AP100" s="68">
        <v>0</v>
      </c>
      <c r="AQ100" s="17">
        <v>300</v>
      </c>
      <c r="AR100" s="68">
        <v>300</v>
      </c>
      <c r="AS100" s="68">
        <v>-413</v>
      </c>
      <c r="AT100" s="17">
        <v>-113</v>
      </c>
    </row>
    <row r="101" spans="4:46" outlineLevel="2">
      <c r="D101" s="18" t="s">
        <v>16</v>
      </c>
      <c r="E101" s="225">
        <v>1200</v>
      </c>
      <c r="F101" s="68">
        <v>-4085.8100000000004</v>
      </c>
      <c r="G101" s="17">
        <f t="shared" si="39"/>
        <v>-2885.8100000000004</v>
      </c>
      <c r="H101" s="69">
        <v>2.4585583333333338</v>
      </c>
      <c r="J101" s="67" t="s">
        <v>16</v>
      </c>
      <c r="K101" s="225">
        <v>150</v>
      </c>
      <c r="L101" s="68">
        <v>-333</v>
      </c>
      <c r="M101" s="17">
        <v>-183</v>
      </c>
      <c r="N101" s="225">
        <v>50</v>
      </c>
      <c r="O101" s="68">
        <v>-223</v>
      </c>
      <c r="P101" s="17">
        <v>-173</v>
      </c>
      <c r="Q101" s="225">
        <v>50</v>
      </c>
      <c r="R101" s="68">
        <v>-418</v>
      </c>
      <c r="S101" s="17">
        <v>-368</v>
      </c>
      <c r="T101" s="225">
        <v>200</v>
      </c>
      <c r="U101" s="68">
        <v>0</v>
      </c>
      <c r="V101" s="17">
        <v>200</v>
      </c>
      <c r="W101" s="225">
        <v>50</v>
      </c>
      <c r="X101" s="68">
        <v>-604</v>
      </c>
      <c r="Y101" s="17">
        <v>-554</v>
      </c>
      <c r="Z101" s="225">
        <v>50</v>
      </c>
      <c r="AA101" s="68">
        <v>-113.14</v>
      </c>
      <c r="AB101" s="68">
        <v>-63.14</v>
      </c>
      <c r="AC101" s="225">
        <v>200</v>
      </c>
      <c r="AD101" s="68">
        <v>0</v>
      </c>
      <c r="AE101" s="17">
        <v>200</v>
      </c>
      <c r="AF101" s="225">
        <v>50</v>
      </c>
      <c r="AG101" s="68">
        <v>-210.45</v>
      </c>
      <c r="AH101" s="17">
        <v>-160.44999999999999</v>
      </c>
      <c r="AI101" s="225">
        <v>50</v>
      </c>
      <c r="AJ101" s="68">
        <v>-400</v>
      </c>
      <c r="AK101" s="17">
        <v>-350</v>
      </c>
      <c r="AL101" s="225">
        <v>50</v>
      </c>
      <c r="AM101" s="68">
        <v>-648.68000000000006</v>
      </c>
      <c r="AN101" s="17">
        <v>-598.68000000000006</v>
      </c>
      <c r="AO101" s="225">
        <v>50</v>
      </c>
      <c r="AP101" s="68">
        <v>0</v>
      </c>
      <c r="AQ101" s="17">
        <v>50</v>
      </c>
      <c r="AR101" s="68">
        <v>250</v>
      </c>
      <c r="AS101" s="68">
        <v>-1135.54</v>
      </c>
      <c r="AT101" s="17">
        <v>-885.54</v>
      </c>
    </row>
    <row r="102" spans="4:46" outlineLevel="2">
      <c r="D102" s="18" t="s">
        <v>17</v>
      </c>
      <c r="E102" s="225">
        <v>6100</v>
      </c>
      <c r="F102" s="68">
        <v>-11091.32</v>
      </c>
      <c r="G102" s="17">
        <f t="shared" si="39"/>
        <v>-4991.32</v>
      </c>
      <c r="H102" s="69">
        <v>1.6798885245901638</v>
      </c>
      <c r="J102" s="67" t="s">
        <v>17</v>
      </c>
      <c r="K102" s="225">
        <v>400</v>
      </c>
      <c r="L102" s="68">
        <v>-1035.25</v>
      </c>
      <c r="M102" s="17">
        <v>-635.25</v>
      </c>
      <c r="N102" s="225">
        <v>500</v>
      </c>
      <c r="O102" s="68">
        <v>-1557</v>
      </c>
      <c r="P102" s="17">
        <v>-1057</v>
      </c>
      <c r="Q102" s="225">
        <v>500</v>
      </c>
      <c r="R102" s="68">
        <v>-643</v>
      </c>
      <c r="S102" s="17">
        <v>-143</v>
      </c>
      <c r="T102" s="225">
        <v>500</v>
      </c>
      <c r="U102" s="68">
        <v>-425</v>
      </c>
      <c r="V102" s="17">
        <v>75</v>
      </c>
      <c r="W102" s="225">
        <v>300</v>
      </c>
      <c r="X102" s="68">
        <v>-951.31</v>
      </c>
      <c r="Y102" s="17">
        <v>-651.30999999999995</v>
      </c>
      <c r="Z102" s="225">
        <v>300</v>
      </c>
      <c r="AA102" s="68">
        <v>-388</v>
      </c>
      <c r="AB102" s="68">
        <v>-88</v>
      </c>
      <c r="AC102" s="225">
        <v>600</v>
      </c>
      <c r="AD102" s="68">
        <v>-679.15</v>
      </c>
      <c r="AE102" s="17">
        <v>-79.149999999999977</v>
      </c>
      <c r="AF102" s="225">
        <v>600</v>
      </c>
      <c r="AG102" s="68">
        <v>-1100.26</v>
      </c>
      <c r="AH102" s="17">
        <v>-500.26</v>
      </c>
      <c r="AI102" s="225">
        <v>600</v>
      </c>
      <c r="AJ102" s="68">
        <v>-968</v>
      </c>
      <c r="AK102" s="17">
        <v>-368</v>
      </c>
      <c r="AL102" s="225">
        <v>600</v>
      </c>
      <c r="AM102" s="68">
        <v>-1462.35</v>
      </c>
      <c r="AN102" s="17">
        <v>-862.34999999999991</v>
      </c>
      <c r="AO102" s="225">
        <v>600</v>
      </c>
      <c r="AP102" s="68">
        <v>-1722</v>
      </c>
      <c r="AQ102" s="17">
        <v>-1122</v>
      </c>
      <c r="AR102" s="68">
        <v>600</v>
      </c>
      <c r="AS102" s="68">
        <v>-160</v>
      </c>
      <c r="AT102" s="17">
        <v>440</v>
      </c>
    </row>
    <row r="103" spans="4:46" outlineLevel="2">
      <c r="D103" s="18" t="s">
        <v>18</v>
      </c>
      <c r="E103" s="225">
        <v>1300</v>
      </c>
      <c r="F103" s="68">
        <v>-1559</v>
      </c>
      <c r="G103" s="17">
        <f t="shared" si="39"/>
        <v>-259</v>
      </c>
      <c r="H103" s="69">
        <v>1.1992307692307693</v>
      </c>
      <c r="J103" s="67" t="s">
        <v>18</v>
      </c>
      <c r="K103" s="225">
        <v>200</v>
      </c>
      <c r="L103" s="68">
        <v>-322</v>
      </c>
      <c r="M103" s="17">
        <v>-122</v>
      </c>
      <c r="N103" s="225">
        <v>100</v>
      </c>
      <c r="O103" s="68">
        <v>-222</v>
      </c>
      <c r="P103" s="17">
        <v>-122</v>
      </c>
      <c r="Q103" s="225">
        <v>100</v>
      </c>
      <c r="R103" s="68">
        <v>-235</v>
      </c>
      <c r="S103" s="17">
        <v>-135</v>
      </c>
      <c r="T103" s="225">
        <v>100</v>
      </c>
      <c r="U103" s="68">
        <v>0</v>
      </c>
      <c r="V103" s="17">
        <v>100</v>
      </c>
      <c r="W103" s="225">
        <v>100</v>
      </c>
      <c r="X103" s="68">
        <v>0</v>
      </c>
      <c r="Y103" s="17">
        <v>100</v>
      </c>
      <c r="Z103" s="225">
        <v>100</v>
      </c>
      <c r="AA103" s="68">
        <v>0</v>
      </c>
      <c r="AB103" s="68">
        <v>100</v>
      </c>
      <c r="AC103" s="225">
        <v>100</v>
      </c>
      <c r="AD103" s="68">
        <v>-150</v>
      </c>
      <c r="AE103" s="17">
        <v>-50</v>
      </c>
      <c r="AF103" s="225">
        <v>100</v>
      </c>
      <c r="AG103" s="68">
        <v>-150</v>
      </c>
      <c r="AH103" s="17">
        <v>-50</v>
      </c>
      <c r="AI103" s="225">
        <v>100</v>
      </c>
      <c r="AJ103" s="68">
        <v>-160</v>
      </c>
      <c r="AK103" s="17">
        <v>-60</v>
      </c>
      <c r="AL103" s="225">
        <v>100</v>
      </c>
      <c r="AM103" s="68">
        <v>-160</v>
      </c>
      <c r="AN103" s="17">
        <v>-60</v>
      </c>
      <c r="AO103" s="225">
        <v>100</v>
      </c>
      <c r="AP103" s="68">
        <v>-160</v>
      </c>
      <c r="AQ103" s="17">
        <v>-60</v>
      </c>
      <c r="AR103" s="68">
        <v>100</v>
      </c>
      <c r="AS103" s="68">
        <v>0</v>
      </c>
      <c r="AT103" s="17">
        <v>100</v>
      </c>
    </row>
    <row r="104" spans="4:46" outlineLevel="2">
      <c r="D104" s="18" t="s">
        <v>19</v>
      </c>
      <c r="E104" s="225">
        <v>0</v>
      </c>
      <c r="F104" s="68">
        <v>-3042</v>
      </c>
      <c r="G104" s="17">
        <f t="shared" si="39"/>
        <v>-3042</v>
      </c>
      <c r="H104" s="69">
        <v>0</v>
      </c>
      <c r="J104" s="67" t="s">
        <v>19</v>
      </c>
      <c r="K104" s="225">
        <v>0</v>
      </c>
      <c r="L104" s="68">
        <v>0</v>
      </c>
      <c r="M104" s="17">
        <v>0</v>
      </c>
      <c r="N104" s="225">
        <v>0</v>
      </c>
      <c r="O104" s="68">
        <v>0</v>
      </c>
      <c r="P104" s="17">
        <v>0</v>
      </c>
      <c r="Q104" s="225">
        <v>0</v>
      </c>
      <c r="R104" s="68">
        <v>0</v>
      </c>
      <c r="S104" s="17">
        <v>0</v>
      </c>
      <c r="T104" s="225">
        <v>0</v>
      </c>
      <c r="U104" s="68">
        <v>0</v>
      </c>
      <c r="V104" s="17">
        <v>0</v>
      </c>
      <c r="W104" s="225">
        <v>0</v>
      </c>
      <c r="X104" s="68">
        <v>0</v>
      </c>
      <c r="Y104" s="17">
        <v>0</v>
      </c>
      <c r="Z104" s="225">
        <v>0</v>
      </c>
      <c r="AA104" s="68">
        <v>0</v>
      </c>
      <c r="AB104" s="68">
        <v>0</v>
      </c>
      <c r="AC104" s="225">
        <v>0</v>
      </c>
      <c r="AD104" s="68">
        <v>0</v>
      </c>
      <c r="AE104" s="17">
        <v>0</v>
      </c>
      <c r="AF104" s="225">
        <v>0</v>
      </c>
      <c r="AG104" s="68">
        <v>0</v>
      </c>
      <c r="AH104" s="17">
        <v>0</v>
      </c>
      <c r="AI104" s="225">
        <v>0</v>
      </c>
      <c r="AJ104" s="68">
        <v>0</v>
      </c>
      <c r="AK104" s="17">
        <v>0</v>
      </c>
      <c r="AL104" s="225">
        <v>0</v>
      </c>
      <c r="AM104" s="68">
        <v>0</v>
      </c>
      <c r="AN104" s="17">
        <v>0</v>
      </c>
      <c r="AO104" s="225">
        <v>0</v>
      </c>
      <c r="AP104" s="68">
        <v>0</v>
      </c>
      <c r="AQ104" s="17">
        <v>0</v>
      </c>
      <c r="AR104" s="68">
        <v>0</v>
      </c>
      <c r="AS104" s="68">
        <v>-3042</v>
      </c>
      <c r="AT104" s="17">
        <v>-3042</v>
      </c>
    </row>
    <row r="105" spans="4:46" outlineLevel="2">
      <c r="D105" s="18" t="s">
        <v>20</v>
      </c>
      <c r="E105" s="225">
        <v>2400</v>
      </c>
      <c r="F105" s="68">
        <v>-15194.14</v>
      </c>
      <c r="G105" s="17">
        <f t="shared" si="39"/>
        <v>-12794.14</v>
      </c>
      <c r="H105" s="69">
        <v>5.4621416666666667</v>
      </c>
      <c r="J105" s="67" t="s">
        <v>20</v>
      </c>
      <c r="K105" s="225">
        <v>200</v>
      </c>
      <c r="L105" s="68">
        <v>-1135.2</v>
      </c>
      <c r="M105" s="17">
        <v>-935.2</v>
      </c>
      <c r="N105" s="225">
        <v>200</v>
      </c>
      <c r="O105" s="68">
        <v>-1328</v>
      </c>
      <c r="P105" s="17">
        <v>-1128</v>
      </c>
      <c r="Q105" s="225">
        <v>200</v>
      </c>
      <c r="R105" s="68">
        <v>-1126.8499999999999</v>
      </c>
      <c r="S105" s="17">
        <v>-926.84999999999991</v>
      </c>
      <c r="T105" s="225">
        <v>200</v>
      </c>
      <c r="U105" s="68">
        <v>-836.19</v>
      </c>
      <c r="V105" s="17">
        <v>-636.19000000000005</v>
      </c>
      <c r="W105" s="225">
        <v>200</v>
      </c>
      <c r="X105" s="68">
        <v>-589</v>
      </c>
      <c r="Y105" s="17">
        <v>-389</v>
      </c>
      <c r="Z105" s="225">
        <v>200</v>
      </c>
      <c r="AA105" s="68">
        <v>-1578</v>
      </c>
      <c r="AB105" s="68">
        <v>-1378</v>
      </c>
      <c r="AC105" s="225">
        <v>200</v>
      </c>
      <c r="AD105" s="68">
        <v>-350</v>
      </c>
      <c r="AE105" s="17">
        <v>-150</v>
      </c>
      <c r="AF105" s="225">
        <v>200</v>
      </c>
      <c r="AG105" s="68">
        <v>-1500</v>
      </c>
      <c r="AH105" s="17">
        <v>-1300</v>
      </c>
      <c r="AI105" s="225">
        <v>200</v>
      </c>
      <c r="AJ105" s="68">
        <v>-1749.82</v>
      </c>
      <c r="AK105" s="17">
        <v>-1549.82</v>
      </c>
      <c r="AL105" s="225">
        <v>200</v>
      </c>
      <c r="AM105" s="68">
        <v>-2155.3199999999997</v>
      </c>
      <c r="AN105" s="17">
        <v>-1955.3199999999997</v>
      </c>
      <c r="AO105" s="225">
        <v>200</v>
      </c>
      <c r="AP105" s="68">
        <v>-2452.7600000000002</v>
      </c>
      <c r="AQ105" s="17">
        <v>-2252.7600000000002</v>
      </c>
      <c r="AR105" s="68">
        <v>200</v>
      </c>
      <c r="AS105" s="68">
        <v>-393</v>
      </c>
      <c r="AT105" s="17">
        <v>-193</v>
      </c>
    </row>
    <row r="106" spans="4:46" outlineLevel="2">
      <c r="D106" s="18" t="s">
        <v>21</v>
      </c>
      <c r="E106" s="225">
        <v>4800</v>
      </c>
      <c r="F106" s="68">
        <v>-4066</v>
      </c>
      <c r="G106" s="17">
        <f t="shared" si="39"/>
        <v>734</v>
      </c>
      <c r="H106" s="69">
        <v>0.8470833333333333</v>
      </c>
      <c r="J106" s="67" t="s">
        <v>21</v>
      </c>
      <c r="K106" s="225">
        <v>400</v>
      </c>
      <c r="L106" s="68">
        <v>-338</v>
      </c>
      <c r="M106" s="17">
        <v>62</v>
      </c>
      <c r="N106" s="225">
        <v>400</v>
      </c>
      <c r="O106" s="68">
        <v>-338</v>
      </c>
      <c r="P106" s="17">
        <v>62</v>
      </c>
      <c r="Q106" s="225">
        <v>400</v>
      </c>
      <c r="R106" s="68">
        <v>-438</v>
      </c>
      <c r="S106" s="17">
        <v>-38</v>
      </c>
      <c r="T106" s="225">
        <v>400</v>
      </c>
      <c r="U106" s="68">
        <v>-388</v>
      </c>
      <c r="V106" s="17">
        <v>12</v>
      </c>
      <c r="W106" s="225">
        <v>400</v>
      </c>
      <c r="X106" s="68">
        <v>-388</v>
      </c>
      <c r="Y106" s="17">
        <v>12</v>
      </c>
      <c r="Z106" s="225">
        <v>400</v>
      </c>
      <c r="AA106" s="68">
        <v>-350</v>
      </c>
      <c r="AB106" s="68">
        <v>50</v>
      </c>
      <c r="AC106" s="225">
        <v>400</v>
      </c>
      <c r="AD106" s="68">
        <v>-343</v>
      </c>
      <c r="AE106" s="17">
        <v>57</v>
      </c>
      <c r="AF106" s="225">
        <v>400</v>
      </c>
      <c r="AG106" s="68">
        <v>-393</v>
      </c>
      <c r="AH106" s="17">
        <v>7</v>
      </c>
      <c r="AI106" s="225">
        <v>400</v>
      </c>
      <c r="AJ106" s="68">
        <v>-65</v>
      </c>
      <c r="AK106" s="17">
        <v>335</v>
      </c>
      <c r="AL106" s="225">
        <v>400</v>
      </c>
      <c r="AM106" s="68">
        <v>-725</v>
      </c>
      <c r="AN106" s="17">
        <v>-325</v>
      </c>
      <c r="AO106" s="225">
        <v>400</v>
      </c>
      <c r="AP106" s="68">
        <v>-300</v>
      </c>
      <c r="AQ106" s="17">
        <v>100</v>
      </c>
      <c r="AR106" s="225">
        <v>400</v>
      </c>
      <c r="AS106" s="68">
        <v>0</v>
      </c>
      <c r="AT106" s="17">
        <v>400</v>
      </c>
    </row>
    <row r="107" spans="4:46" outlineLevel="2">
      <c r="D107" s="18" t="s">
        <v>22</v>
      </c>
      <c r="E107" s="225">
        <v>43200</v>
      </c>
      <c r="F107" s="68">
        <v>-36146.49</v>
      </c>
      <c r="G107" s="17">
        <f t="shared" si="39"/>
        <v>7053.510000000002</v>
      </c>
      <c r="H107" s="69">
        <v>0.83672430555555555</v>
      </c>
      <c r="J107" s="67" t="s">
        <v>22</v>
      </c>
      <c r="K107" s="225">
        <v>3600</v>
      </c>
      <c r="L107" s="68">
        <v>-3614.19</v>
      </c>
      <c r="M107" s="17">
        <v>-14.190000000000055</v>
      </c>
      <c r="N107" s="225">
        <v>3600</v>
      </c>
      <c r="O107" s="68">
        <v>-3614.19</v>
      </c>
      <c r="P107" s="17">
        <v>-14.190000000000055</v>
      </c>
      <c r="Q107" s="225">
        <v>3600</v>
      </c>
      <c r="R107" s="68">
        <v>-3614.19</v>
      </c>
      <c r="S107" s="17">
        <v>-14.190000000000055</v>
      </c>
      <c r="T107" s="225">
        <v>3600</v>
      </c>
      <c r="U107" s="68">
        <v>-3614.19</v>
      </c>
      <c r="V107" s="17">
        <v>-14.190000000000055</v>
      </c>
      <c r="W107" s="225">
        <v>3600</v>
      </c>
      <c r="X107" s="68">
        <v>-3614.19</v>
      </c>
      <c r="Y107" s="17">
        <v>-14.190000000000055</v>
      </c>
      <c r="Z107" s="225">
        <v>3600</v>
      </c>
      <c r="AA107" s="68">
        <v>-3614.19</v>
      </c>
      <c r="AB107" s="68">
        <v>-14.190000000000055</v>
      </c>
      <c r="AC107" s="225">
        <v>3600</v>
      </c>
      <c r="AD107" s="68">
        <v>-3616</v>
      </c>
      <c r="AE107" s="17">
        <v>-16</v>
      </c>
      <c r="AF107" s="225">
        <v>3600</v>
      </c>
      <c r="AG107" s="68">
        <v>-3613</v>
      </c>
      <c r="AH107" s="17">
        <v>-13</v>
      </c>
      <c r="AI107" s="225">
        <v>3600</v>
      </c>
      <c r="AJ107" s="68">
        <v>-3616</v>
      </c>
      <c r="AK107" s="17">
        <v>-16</v>
      </c>
      <c r="AL107" s="225">
        <v>3600</v>
      </c>
      <c r="AM107" s="68">
        <v>-3616.35</v>
      </c>
      <c r="AN107" s="17">
        <v>-16.349999999999909</v>
      </c>
      <c r="AO107" s="225">
        <v>3600</v>
      </c>
      <c r="AP107" s="68">
        <v>0</v>
      </c>
      <c r="AQ107" s="17">
        <v>3600</v>
      </c>
      <c r="AR107" s="68">
        <v>3600</v>
      </c>
      <c r="AS107" s="68">
        <v>0</v>
      </c>
      <c r="AT107" s="17">
        <v>3600</v>
      </c>
    </row>
    <row r="108" spans="4:46" outlineLevel="2">
      <c r="D108" s="18" t="s">
        <v>23</v>
      </c>
      <c r="E108" s="225">
        <v>7383.3999999999987</v>
      </c>
      <c r="F108" s="68">
        <v>-11718.75</v>
      </c>
      <c r="G108" s="17">
        <f t="shared" si="39"/>
        <v>-4335.3500000000013</v>
      </c>
      <c r="H108" s="69">
        <v>1.5668594414497388</v>
      </c>
      <c r="J108" s="67" t="s">
        <v>23</v>
      </c>
      <c r="K108" s="225">
        <v>150</v>
      </c>
      <c r="L108" s="68">
        <v>0</v>
      </c>
      <c r="M108" s="17">
        <v>150</v>
      </c>
      <c r="N108" s="225">
        <v>176.2</v>
      </c>
      <c r="O108" s="68">
        <v>-230</v>
      </c>
      <c r="P108" s="17">
        <v>-53.800000000000011</v>
      </c>
      <c r="Q108" s="225">
        <v>176.2</v>
      </c>
      <c r="R108" s="68">
        <v>-2263.1999999999998</v>
      </c>
      <c r="S108" s="17">
        <v>-2087</v>
      </c>
      <c r="T108" s="225">
        <v>0</v>
      </c>
      <c r="U108" s="68">
        <v>-3084.06</v>
      </c>
      <c r="V108" s="17">
        <v>-3084.06</v>
      </c>
      <c r="W108" s="225">
        <v>500</v>
      </c>
      <c r="X108" s="68">
        <v>-1822</v>
      </c>
      <c r="Y108" s="17">
        <v>-1322</v>
      </c>
      <c r="Z108" s="225">
        <v>500</v>
      </c>
      <c r="AA108" s="68">
        <v>-513.49</v>
      </c>
      <c r="AB108" s="68">
        <v>-13.490000000000009</v>
      </c>
      <c r="AC108" s="225">
        <v>5000</v>
      </c>
      <c r="AD108" s="68">
        <v>-3656</v>
      </c>
      <c r="AE108" s="17">
        <v>1344</v>
      </c>
      <c r="AF108" s="225">
        <v>176.2</v>
      </c>
      <c r="AG108" s="68">
        <v>0</v>
      </c>
      <c r="AH108" s="17">
        <v>176.2</v>
      </c>
      <c r="AI108" s="225">
        <v>176.2</v>
      </c>
      <c r="AJ108" s="68">
        <v>0</v>
      </c>
      <c r="AK108" s="17">
        <v>176.2</v>
      </c>
      <c r="AL108" s="225">
        <v>176.2</v>
      </c>
      <c r="AM108" s="68">
        <v>0</v>
      </c>
      <c r="AN108" s="17">
        <v>176.2</v>
      </c>
      <c r="AO108" s="225">
        <v>176.2</v>
      </c>
      <c r="AP108" s="68">
        <v>0</v>
      </c>
      <c r="AQ108" s="17">
        <v>176.2</v>
      </c>
      <c r="AR108" s="68">
        <v>176.2</v>
      </c>
      <c r="AS108" s="68">
        <v>-150</v>
      </c>
      <c r="AT108" s="17">
        <v>26.199999999999989</v>
      </c>
    </row>
    <row r="109" spans="4:46" outlineLevel="2">
      <c r="D109" s="18" t="s">
        <v>24</v>
      </c>
      <c r="E109" s="225">
        <v>2400</v>
      </c>
      <c r="F109" s="68">
        <v>-4032</v>
      </c>
      <c r="G109" s="17">
        <f t="shared" si="39"/>
        <v>-1632</v>
      </c>
      <c r="H109" s="69">
        <v>1.60625</v>
      </c>
      <c r="J109" s="67" t="s">
        <v>24</v>
      </c>
      <c r="K109" s="225">
        <v>200</v>
      </c>
      <c r="L109" s="68">
        <v>-913</v>
      </c>
      <c r="M109" s="17">
        <v>-713</v>
      </c>
      <c r="N109" s="225">
        <v>200</v>
      </c>
      <c r="O109" s="68">
        <v>-359</v>
      </c>
      <c r="P109" s="17">
        <v>-159</v>
      </c>
      <c r="Q109" s="225">
        <v>200</v>
      </c>
      <c r="R109" s="68">
        <v>0</v>
      </c>
      <c r="S109" s="17">
        <v>200</v>
      </c>
      <c r="T109" s="225">
        <v>200</v>
      </c>
      <c r="U109" s="68">
        <v>0</v>
      </c>
      <c r="V109" s="17">
        <v>200</v>
      </c>
      <c r="W109" s="225">
        <v>200</v>
      </c>
      <c r="X109" s="68">
        <v>-583</v>
      </c>
      <c r="Y109" s="17">
        <v>-383</v>
      </c>
      <c r="Z109" s="225">
        <v>200</v>
      </c>
      <c r="AA109" s="68">
        <v>0</v>
      </c>
      <c r="AB109" s="68">
        <v>200</v>
      </c>
      <c r="AC109" s="225">
        <v>200</v>
      </c>
      <c r="AD109" s="68">
        <v>0</v>
      </c>
      <c r="AE109" s="17">
        <v>200</v>
      </c>
      <c r="AF109" s="225">
        <v>200</v>
      </c>
      <c r="AG109" s="68">
        <v>0</v>
      </c>
      <c r="AH109" s="17">
        <v>200</v>
      </c>
      <c r="AI109" s="225">
        <v>200</v>
      </c>
      <c r="AJ109" s="68">
        <v>-2000</v>
      </c>
      <c r="AK109" s="17">
        <v>-1800</v>
      </c>
      <c r="AL109" s="225">
        <v>200</v>
      </c>
      <c r="AM109" s="68">
        <v>0</v>
      </c>
      <c r="AN109" s="17">
        <v>200</v>
      </c>
      <c r="AO109" s="225">
        <v>200</v>
      </c>
      <c r="AP109" s="68">
        <v>0</v>
      </c>
      <c r="AQ109" s="17">
        <v>200</v>
      </c>
      <c r="AR109" s="68">
        <v>200</v>
      </c>
      <c r="AS109" s="68">
        <v>-177</v>
      </c>
      <c r="AT109" s="17">
        <v>23</v>
      </c>
    </row>
    <row r="110" spans="4:46" outlineLevel="2">
      <c r="D110" s="18" t="s">
        <v>25</v>
      </c>
      <c r="E110" s="225">
        <v>2123</v>
      </c>
      <c r="F110" s="68">
        <v>-3311</v>
      </c>
      <c r="G110" s="17">
        <f t="shared" si="39"/>
        <v>-1188</v>
      </c>
      <c r="H110" s="69">
        <v>1.5595854922279793</v>
      </c>
      <c r="J110" s="67" t="s">
        <v>25</v>
      </c>
      <c r="K110" s="225">
        <v>500</v>
      </c>
      <c r="L110" s="68">
        <v>0</v>
      </c>
      <c r="M110" s="17">
        <v>500</v>
      </c>
      <c r="N110" s="225">
        <v>500</v>
      </c>
      <c r="O110" s="68">
        <v>0</v>
      </c>
      <c r="P110" s="17">
        <v>500</v>
      </c>
      <c r="Q110" s="225">
        <v>500</v>
      </c>
      <c r="R110" s="68">
        <v>-705</v>
      </c>
      <c r="S110" s="17">
        <v>-205</v>
      </c>
      <c r="T110" s="225">
        <v>0</v>
      </c>
      <c r="U110" s="68">
        <v>-55</v>
      </c>
      <c r="V110" s="17">
        <v>-55</v>
      </c>
      <c r="W110" s="225">
        <v>0</v>
      </c>
      <c r="X110" s="68">
        <v>0</v>
      </c>
      <c r="Y110" s="17">
        <v>0</v>
      </c>
      <c r="Z110" s="225">
        <v>0</v>
      </c>
      <c r="AA110" s="68">
        <v>0</v>
      </c>
      <c r="AB110" s="68">
        <v>0</v>
      </c>
      <c r="AC110" s="225">
        <v>0</v>
      </c>
      <c r="AD110" s="68">
        <v>0</v>
      </c>
      <c r="AE110" s="17">
        <v>0</v>
      </c>
      <c r="AF110" s="225">
        <v>523</v>
      </c>
      <c r="AG110" s="68">
        <v>-850</v>
      </c>
      <c r="AH110" s="17">
        <v>-327</v>
      </c>
      <c r="AI110" s="225">
        <v>100</v>
      </c>
      <c r="AJ110" s="68">
        <v>0</v>
      </c>
      <c r="AK110" s="17">
        <v>100</v>
      </c>
      <c r="AL110" s="225">
        <v>0</v>
      </c>
      <c r="AM110" s="68">
        <v>-1701</v>
      </c>
      <c r="AN110" s="17">
        <v>-1701</v>
      </c>
      <c r="AO110" s="225">
        <v>0</v>
      </c>
      <c r="AP110" s="68">
        <v>0</v>
      </c>
      <c r="AQ110" s="17">
        <v>0</v>
      </c>
      <c r="AR110" s="68">
        <v>0</v>
      </c>
      <c r="AS110" s="68">
        <v>0</v>
      </c>
      <c r="AT110" s="17">
        <v>0</v>
      </c>
    </row>
    <row r="111" spans="4:46" outlineLevel="2">
      <c r="D111" s="18" t="s">
        <v>26</v>
      </c>
      <c r="E111" s="225">
        <v>2400</v>
      </c>
      <c r="F111" s="68">
        <v>-5129.57</v>
      </c>
      <c r="G111" s="17">
        <f t="shared" si="39"/>
        <v>-2729.5699999999997</v>
      </c>
      <c r="H111" s="69">
        <v>2.1373208333333333</v>
      </c>
      <c r="J111" s="67" t="s">
        <v>26</v>
      </c>
      <c r="K111" s="225">
        <v>200</v>
      </c>
      <c r="L111" s="68">
        <v>0</v>
      </c>
      <c r="M111" s="17">
        <v>200</v>
      </c>
      <c r="N111" s="225">
        <v>200</v>
      </c>
      <c r="O111" s="68">
        <v>0</v>
      </c>
      <c r="P111" s="17">
        <v>200</v>
      </c>
      <c r="Q111" s="225">
        <v>200</v>
      </c>
      <c r="R111" s="68">
        <v>0</v>
      </c>
      <c r="S111" s="17">
        <v>200</v>
      </c>
      <c r="T111" s="225">
        <v>200</v>
      </c>
      <c r="U111" s="68">
        <v>0</v>
      </c>
      <c r="V111" s="17">
        <v>200</v>
      </c>
      <c r="W111" s="225">
        <v>200</v>
      </c>
      <c r="X111" s="68">
        <v>0</v>
      </c>
      <c r="Y111" s="17">
        <v>200</v>
      </c>
      <c r="Z111" s="225">
        <v>200</v>
      </c>
      <c r="AA111" s="68">
        <v>-394.57</v>
      </c>
      <c r="AB111" s="68">
        <v>-194.57</v>
      </c>
      <c r="AC111" s="225">
        <v>200</v>
      </c>
      <c r="AD111" s="68">
        <v>-682</v>
      </c>
      <c r="AE111" s="17">
        <v>-482</v>
      </c>
      <c r="AF111" s="225">
        <v>200</v>
      </c>
      <c r="AG111" s="68">
        <v>-4053</v>
      </c>
      <c r="AH111" s="17"/>
      <c r="AI111" s="225">
        <v>200</v>
      </c>
      <c r="AJ111" s="68">
        <v>0</v>
      </c>
      <c r="AK111" s="17">
        <v>200</v>
      </c>
      <c r="AL111" s="225">
        <v>200</v>
      </c>
      <c r="AM111" s="68">
        <v>0</v>
      </c>
      <c r="AN111" s="17">
        <v>200</v>
      </c>
      <c r="AO111" s="225">
        <v>200</v>
      </c>
      <c r="AP111" s="68">
        <v>0</v>
      </c>
      <c r="AQ111" s="17">
        <v>200</v>
      </c>
      <c r="AR111" s="68">
        <v>200</v>
      </c>
      <c r="AS111" s="68">
        <v>0</v>
      </c>
      <c r="AT111" s="17">
        <v>200</v>
      </c>
    </row>
    <row r="112" spans="4:46" outlineLevel="2">
      <c r="D112" s="18" t="s">
        <v>27</v>
      </c>
      <c r="E112" s="225">
        <v>0</v>
      </c>
      <c r="F112" s="68">
        <v>0</v>
      </c>
      <c r="G112" s="17">
        <f t="shared" si="39"/>
        <v>0</v>
      </c>
      <c r="H112" s="69">
        <v>3.1373208333333298</v>
      </c>
      <c r="J112" s="67" t="s">
        <v>27</v>
      </c>
      <c r="K112" s="225">
        <v>0</v>
      </c>
      <c r="L112" s="68">
        <v>0</v>
      </c>
      <c r="M112" s="17">
        <v>0</v>
      </c>
      <c r="N112" s="225">
        <v>0</v>
      </c>
      <c r="O112" s="68">
        <v>0</v>
      </c>
      <c r="P112" s="17">
        <v>0</v>
      </c>
      <c r="Q112" s="225">
        <v>0</v>
      </c>
      <c r="R112" s="68">
        <v>0</v>
      </c>
      <c r="S112" s="17">
        <v>0</v>
      </c>
      <c r="T112" s="225">
        <v>0</v>
      </c>
      <c r="U112" s="68">
        <v>0</v>
      </c>
      <c r="V112" s="17">
        <v>0</v>
      </c>
      <c r="W112" s="225">
        <v>0</v>
      </c>
      <c r="X112" s="68">
        <v>0</v>
      </c>
      <c r="Y112" s="17">
        <v>0</v>
      </c>
      <c r="Z112" s="225">
        <v>0</v>
      </c>
      <c r="AA112" s="68">
        <v>0</v>
      </c>
      <c r="AB112" s="17">
        <v>0</v>
      </c>
      <c r="AC112" s="225">
        <v>0</v>
      </c>
      <c r="AD112" s="68">
        <v>0</v>
      </c>
      <c r="AE112" s="17">
        <v>0</v>
      </c>
      <c r="AF112" s="225">
        <v>0</v>
      </c>
      <c r="AG112" s="68">
        <v>0</v>
      </c>
      <c r="AH112" s="17">
        <v>0</v>
      </c>
      <c r="AI112" s="225">
        <v>0</v>
      </c>
      <c r="AJ112" s="68">
        <v>0</v>
      </c>
      <c r="AK112" s="17">
        <v>0</v>
      </c>
      <c r="AL112" s="225">
        <v>0</v>
      </c>
      <c r="AM112" s="68">
        <v>0</v>
      </c>
      <c r="AN112" s="17">
        <v>0</v>
      </c>
      <c r="AO112" s="225">
        <v>0</v>
      </c>
      <c r="AP112" s="68">
        <v>0</v>
      </c>
      <c r="AQ112" s="17">
        <v>0</v>
      </c>
      <c r="AR112" s="225">
        <v>0</v>
      </c>
      <c r="AS112" s="68">
        <v>0</v>
      </c>
      <c r="AT112" s="17">
        <v>0</v>
      </c>
    </row>
    <row r="113" spans="4:46" ht="13.5" outlineLevel="2" thickBot="1">
      <c r="D113" s="30" t="s">
        <v>28</v>
      </c>
      <c r="E113" s="225">
        <v>0</v>
      </c>
      <c r="F113" s="68">
        <v>0</v>
      </c>
      <c r="G113" s="17">
        <f t="shared" si="39"/>
        <v>0</v>
      </c>
      <c r="H113" s="69">
        <v>4.1373208333333302</v>
      </c>
      <c r="I113" s="48"/>
      <c r="J113" s="88" t="s">
        <v>28</v>
      </c>
      <c r="K113" s="226">
        <v>0</v>
      </c>
      <c r="L113" s="227">
        <v>0</v>
      </c>
      <c r="M113" s="228">
        <v>0</v>
      </c>
      <c r="N113" s="226">
        <v>0</v>
      </c>
      <c r="O113" s="227">
        <v>0</v>
      </c>
      <c r="P113" s="228">
        <v>0</v>
      </c>
      <c r="Q113" s="226">
        <v>0</v>
      </c>
      <c r="R113" s="227">
        <v>0</v>
      </c>
      <c r="S113" s="228">
        <v>0</v>
      </c>
      <c r="T113" s="226">
        <v>0</v>
      </c>
      <c r="U113" s="227">
        <v>0</v>
      </c>
      <c r="V113" s="228">
        <v>0</v>
      </c>
      <c r="W113" s="226">
        <v>0</v>
      </c>
      <c r="X113" s="227">
        <v>0</v>
      </c>
      <c r="Y113" s="228">
        <v>0</v>
      </c>
      <c r="Z113" s="226">
        <v>0</v>
      </c>
      <c r="AA113" s="227">
        <v>0</v>
      </c>
      <c r="AB113" s="227">
        <v>0</v>
      </c>
      <c r="AC113" s="226">
        <v>0</v>
      </c>
      <c r="AD113" s="227">
        <v>0</v>
      </c>
      <c r="AE113" s="227">
        <v>0</v>
      </c>
      <c r="AF113" s="225">
        <v>0</v>
      </c>
      <c r="AG113" s="68">
        <v>0</v>
      </c>
      <c r="AH113" s="17">
        <v>0</v>
      </c>
      <c r="AI113" s="225">
        <v>0</v>
      </c>
      <c r="AJ113" s="68">
        <v>0</v>
      </c>
      <c r="AK113" s="17">
        <v>0</v>
      </c>
      <c r="AL113" s="225">
        <v>0</v>
      </c>
      <c r="AM113" s="68">
        <v>0</v>
      </c>
      <c r="AN113" s="17">
        <v>0</v>
      </c>
      <c r="AO113" s="225">
        <v>0</v>
      </c>
      <c r="AP113" s="68">
        <v>0</v>
      </c>
      <c r="AQ113" s="17">
        <v>0</v>
      </c>
      <c r="AR113" s="68">
        <v>0</v>
      </c>
      <c r="AS113" s="68">
        <v>0</v>
      </c>
      <c r="AT113" s="17">
        <v>0</v>
      </c>
    </row>
    <row r="114" spans="4:46" ht="13.5" outlineLevel="2" thickBot="1">
      <c r="D114" s="75" t="s">
        <v>29</v>
      </c>
      <c r="E114" s="268">
        <f>SUM(E93:E113)</f>
        <v>101096.4</v>
      </c>
      <c r="F114" s="269">
        <f>SUM(F93:F113)</f>
        <v>-133309.91999999998</v>
      </c>
      <c r="G114" s="270">
        <f>SUM(G93:G113)</f>
        <v>-32213.52</v>
      </c>
      <c r="J114" s="75" t="s">
        <v>29</v>
      </c>
      <c r="K114" s="226">
        <f t="shared" ref="K114:AT114" si="40">SUM(K93:K113)</f>
        <v>8420</v>
      </c>
      <c r="L114" s="227">
        <f t="shared" si="40"/>
        <v>-10911.05</v>
      </c>
      <c r="M114" s="228">
        <f t="shared" si="40"/>
        <v>-2491.0499999999997</v>
      </c>
      <c r="N114" s="226">
        <f t="shared" si="40"/>
        <v>8346.2000000000007</v>
      </c>
      <c r="O114" s="227">
        <f t="shared" si="40"/>
        <v>-10415.870000000001</v>
      </c>
      <c r="P114" s="228">
        <f t="shared" si="40"/>
        <v>-2069.67</v>
      </c>
      <c r="Q114" s="227">
        <f t="shared" si="40"/>
        <v>8516.2000000000007</v>
      </c>
      <c r="R114" s="227">
        <f t="shared" si="40"/>
        <v>-12857.900000000001</v>
      </c>
      <c r="S114" s="228">
        <f t="shared" si="40"/>
        <v>-4341.7</v>
      </c>
      <c r="T114" s="226">
        <f t="shared" si="40"/>
        <v>8290</v>
      </c>
      <c r="U114" s="227">
        <f t="shared" si="40"/>
        <v>-11596.45</v>
      </c>
      <c r="V114" s="228">
        <f t="shared" si="40"/>
        <v>-3306.4500000000003</v>
      </c>
      <c r="W114" s="226">
        <f t="shared" si="40"/>
        <v>8720</v>
      </c>
      <c r="X114" s="227">
        <f t="shared" si="40"/>
        <v>-11688.64</v>
      </c>
      <c r="Y114" s="228">
        <f t="shared" si="40"/>
        <v>-2968.64</v>
      </c>
      <c r="Z114" s="226">
        <f t="shared" si="40"/>
        <v>7690</v>
      </c>
      <c r="AA114" s="227">
        <f t="shared" si="40"/>
        <v>-9690.65</v>
      </c>
      <c r="AB114" s="228">
        <f t="shared" si="40"/>
        <v>-2000.65</v>
      </c>
      <c r="AC114" s="226">
        <f t="shared" si="40"/>
        <v>12640</v>
      </c>
      <c r="AD114" s="227">
        <f t="shared" si="40"/>
        <v>-12421.15</v>
      </c>
      <c r="AE114" s="227">
        <f t="shared" si="40"/>
        <v>218.85000000000002</v>
      </c>
      <c r="AF114" s="229">
        <f t="shared" si="40"/>
        <v>8189.2</v>
      </c>
      <c r="AG114" s="230">
        <f t="shared" si="40"/>
        <v>-14580.35</v>
      </c>
      <c r="AH114" s="231">
        <f t="shared" si="40"/>
        <v>-2538.15</v>
      </c>
      <c r="AI114" s="232">
        <f t="shared" si="40"/>
        <v>7746.2</v>
      </c>
      <c r="AJ114" s="233">
        <f t="shared" si="40"/>
        <v>-12288.74</v>
      </c>
      <c r="AK114" s="234">
        <f t="shared" si="40"/>
        <v>-4542.54</v>
      </c>
      <c r="AL114" s="232">
        <f t="shared" si="40"/>
        <v>7646.2</v>
      </c>
      <c r="AM114" s="233">
        <f t="shared" si="40"/>
        <v>-14179.5</v>
      </c>
      <c r="AN114" s="234">
        <f t="shared" si="40"/>
        <v>-6533.3</v>
      </c>
      <c r="AO114" s="232">
        <f t="shared" si="40"/>
        <v>7346.2</v>
      </c>
      <c r="AP114" s="233">
        <f t="shared" si="40"/>
        <v>-5420.6</v>
      </c>
      <c r="AQ114" s="234">
        <f t="shared" si="40"/>
        <v>1925.5999999999997</v>
      </c>
      <c r="AR114" s="232">
        <f t="shared" si="40"/>
        <v>7546.2</v>
      </c>
      <c r="AS114" s="233">
        <f>SUM(AS93:AS113)</f>
        <v>-7259.02</v>
      </c>
      <c r="AT114" s="234">
        <f t="shared" si="40"/>
        <v>287.18</v>
      </c>
    </row>
    <row r="115" spans="4:46" ht="14.1" customHeight="1" outlineLevel="2" thickBot="1">
      <c r="E115" s="705">
        <v>2022</v>
      </c>
      <c r="F115" s="706"/>
      <c r="G115" s="707"/>
      <c r="J115" s="58">
        <f>E115</f>
        <v>2022</v>
      </c>
      <c r="K115" s="710">
        <v>44562</v>
      </c>
      <c r="L115" s="711"/>
      <c r="M115" s="712"/>
      <c r="N115" s="710">
        <v>44593</v>
      </c>
      <c r="O115" s="711"/>
      <c r="P115" s="712"/>
      <c r="Q115" s="710">
        <v>44621</v>
      </c>
      <c r="R115" s="711"/>
      <c r="S115" s="712"/>
      <c r="T115" s="710">
        <v>44652</v>
      </c>
      <c r="U115" s="711"/>
      <c r="V115" s="712"/>
      <c r="W115" s="710">
        <v>44682</v>
      </c>
      <c r="X115" s="711"/>
      <c r="Y115" s="712"/>
      <c r="Z115" s="710">
        <v>44713</v>
      </c>
      <c r="AA115" s="711"/>
      <c r="AB115" s="712"/>
      <c r="AC115" s="710">
        <v>44743</v>
      </c>
      <c r="AD115" s="711"/>
      <c r="AE115" s="712"/>
      <c r="AF115" s="710">
        <v>44774</v>
      </c>
      <c r="AG115" s="711"/>
      <c r="AH115" s="712"/>
      <c r="AI115" s="710">
        <v>44805</v>
      </c>
      <c r="AJ115" s="711"/>
      <c r="AK115" s="712"/>
      <c r="AL115" s="710">
        <v>44835</v>
      </c>
      <c r="AM115" s="711"/>
      <c r="AN115" s="712"/>
      <c r="AO115" s="710">
        <v>44866</v>
      </c>
      <c r="AP115" s="711"/>
      <c r="AQ115" s="712"/>
      <c r="AR115" s="710">
        <v>44896</v>
      </c>
      <c r="AS115" s="711"/>
      <c r="AT115" s="712"/>
    </row>
    <row r="116" spans="4:46" outlineLevel="2">
      <c r="D116" s="106" t="s">
        <v>7</v>
      </c>
      <c r="E116" s="60" t="s">
        <v>60</v>
      </c>
      <c r="F116" s="61" t="s">
        <v>61</v>
      </c>
      <c r="G116" s="62" t="s">
        <v>62</v>
      </c>
      <c r="H116" s="63" t="s">
        <v>73</v>
      </c>
      <c r="J116" s="106" t="s">
        <v>7</v>
      </c>
      <c r="K116" s="60" t="s">
        <v>60</v>
      </c>
      <c r="L116" s="61" t="s">
        <v>61</v>
      </c>
      <c r="M116" s="62" t="s">
        <v>62</v>
      </c>
      <c r="N116" s="60" t="s">
        <v>60</v>
      </c>
      <c r="O116" s="61" t="s">
        <v>61</v>
      </c>
      <c r="P116" s="61" t="s">
        <v>62</v>
      </c>
      <c r="Q116" s="60" t="s">
        <v>60</v>
      </c>
      <c r="R116" s="61" t="s">
        <v>61</v>
      </c>
      <c r="S116" s="62" t="s">
        <v>62</v>
      </c>
      <c r="T116" s="60" t="s">
        <v>60</v>
      </c>
      <c r="U116" s="61" t="s">
        <v>61</v>
      </c>
      <c r="V116" s="62" t="s">
        <v>62</v>
      </c>
      <c r="W116" s="60" t="s">
        <v>60</v>
      </c>
      <c r="X116" s="61" t="s">
        <v>61</v>
      </c>
      <c r="Y116" s="62" t="s">
        <v>62</v>
      </c>
      <c r="Z116" s="60" t="s">
        <v>60</v>
      </c>
      <c r="AA116" s="61" t="s">
        <v>61</v>
      </c>
      <c r="AB116" s="62" t="s">
        <v>62</v>
      </c>
      <c r="AC116" s="60" t="s">
        <v>60</v>
      </c>
      <c r="AD116" s="61" t="s">
        <v>61</v>
      </c>
      <c r="AE116" s="62" t="s">
        <v>62</v>
      </c>
      <c r="AF116" s="60" t="s">
        <v>60</v>
      </c>
      <c r="AG116" s="61" t="s">
        <v>61</v>
      </c>
      <c r="AH116" s="62" t="s">
        <v>62</v>
      </c>
      <c r="AI116" s="60" t="s">
        <v>60</v>
      </c>
      <c r="AJ116" s="61" t="s">
        <v>61</v>
      </c>
      <c r="AK116" s="62" t="s">
        <v>62</v>
      </c>
      <c r="AL116" s="60" t="s">
        <v>60</v>
      </c>
      <c r="AM116" s="61" t="s">
        <v>61</v>
      </c>
      <c r="AN116" s="62" t="s">
        <v>62</v>
      </c>
      <c r="AO116" s="60" t="s">
        <v>60</v>
      </c>
      <c r="AP116" s="61" t="s">
        <v>61</v>
      </c>
      <c r="AQ116" s="62" t="s">
        <v>62</v>
      </c>
      <c r="AR116" s="60" t="s">
        <v>60</v>
      </c>
      <c r="AS116" s="61" t="s">
        <v>61</v>
      </c>
      <c r="AT116" s="62" t="s">
        <v>62</v>
      </c>
    </row>
    <row r="117" spans="4:46" outlineLevel="2">
      <c r="D117" s="79" t="s">
        <v>8</v>
      </c>
      <c r="E117" s="267">
        <v>4200</v>
      </c>
      <c r="F117" s="65">
        <v>-3730.2799999999997</v>
      </c>
      <c r="G117" s="77">
        <v>469.72000000000025</v>
      </c>
      <c r="H117" s="66">
        <f>F117/$F$137</f>
        <v>2.9890406596806356E-2</v>
      </c>
      <c r="I117" s="107"/>
      <c r="J117" s="64" t="s">
        <v>8</v>
      </c>
      <c r="K117" s="65">
        <v>350</v>
      </c>
      <c r="L117" s="65">
        <v>-386.21</v>
      </c>
      <c r="M117" s="17">
        <v>-36.20999999999998</v>
      </c>
      <c r="N117" s="65">
        <v>350</v>
      </c>
      <c r="O117" s="65">
        <v>-201</v>
      </c>
      <c r="P117" s="77">
        <v>149</v>
      </c>
      <c r="Q117" s="65">
        <v>350</v>
      </c>
      <c r="R117" s="65">
        <v>-488</v>
      </c>
      <c r="S117" s="77">
        <v>-138</v>
      </c>
      <c r="T117" s="65">
        <v>350</v>
      </c>
      <c r="U117" s="65">
        <v>-476</v>
      </c>
      <c r="V117" s="77">
        <v>-126</v>
      </c>
      <c r="W117" s="65">
        <v>350</v>
      </c>
      <c r="X117" s="65">
        <v>-308.07</v>
      </c>
      <c r="Y117" s="77">
        <v>41.930000000000007</v>
      </c>
      <c r="Z117" s="65">
        <v>350</v>
      </c>
      <c r="AA117" s="65">
        <v>-216</v>
      </c>
      <c r="AB117" s="65">
        <v>134</v>
      </c>
      <c r="AC117" s="65">
        <v>350</v>
      </c>
      <c r="AD117" s="65">
        <v>-306</v>
      </c>
      <c r="AE117" s="77">
        <v>44</v>
      </c>
      <c r="AF117" s="65">
        <v>350</v>
      </c>
      <c r="AG117" s="65">
        <v>-253</v>
      </c>
      <c r="AH117" s="77">
        <v>97</v>
      </c>
      <c r="AI117" s="65">
        <v>350</v>
      </c>
      <c r="AJ117" s="65">
        <v>-299</v>
      </c>
      <c r="AK117" s="77">
        <v>51</v>
      </c>
      <c r="AL117" s="65">
        <v>350</v>
      </c>
      <c r="AM117" s="65">
        <v>-367</v>
      </c>
      <c r="AN117" s="77">
        <v>-17</v>
      </c>
      <c r="AO117" s="65">
        <v>350</v>
      </c>
      <c r="AP117" s="65">
        <v>-275</v>
      </c>
      <c r="AQ117" s="77">
        <v>210</v>
      </c>
      <c r="AR117" s="65">
        <v>350</v>
      </c>
      <c r="AS117" s="65">
        <v>-155</v>
      </c>
      <c r="AT117" s="77">
        <v>350</v>
      </c>
    </row>
    <row r="118" spans="4:46" outlineLevel="2">
      <c r="D118" s="18" t="s">
        <v>9</v>
      </c>
      <c r="E118" s="225">
        <v>2400</v>
      </c>
      <c r="F118" s="68">
        <v>-1845.0500000000002</v>
      </c>
      <c r="G118" s="17">
        <v>554.94999999999982</v>
      </c>
      <c r="H118" s="69">
        <f t="shared" ref="H118:H136" si="41">F118/$F$137</f>
        <v>1.4784223889744891E-2</v>
      </c>
      <c r="J118" s="67" t="s">
        <v>9</v>
      </c>
      <c r="K118" s="225">
        <v>200</v>
      </c>
      <c r="L118" s="68">
        <v>-163</v>
      </c>
      <c r="M118" s="17">
        <v>37</v>
      </c>
      <c r="N118" s="225">
        <v>200</v>
      </c>
      <c r="O118" s="68">
        <v>-163</v>
      </c>
      <c r="P118" s="17">
        <v>37</v>
      </c>
      <c r="Q118" s="225">
        <v>200</v>
      </c>
      <c r="R118" s="68">
        <v>-163</v>
      </c>
      <c r="S118" s="17">
        <v>37</v>
      </c>
      <c r="T118" s="225">
        <v>200</v>
      </c>
      <c r="U118" s="68">
        <v>-241</v>
      </c>
      <c r="V118" s="17">
        <v>-41</v>
      </c>
      <c r="W118" s="225">
        <v>200</v>
      </c>
      <c r="X118" s="68">
        <v>-163.13</v>
      </c>
      <c r="Y118" s="17">
        <v>36.870000000000005</v>
      </c>
      <c r="Z118" s="225">
        <v>200</v>
      </c>
      <c r="AA118" s="68">
        <v>-166</v>
      </c>
      <c r="AB118" s="68">
        <v>34</v>
      </c>
      <c r="AC118" s="225">
        <v>200</v>
      </c>
      <c r="AD118" s="68">
        <v>-163</v>
      </c>
      <c r="AE118" s="17">
        <v>37</v>
      </c>
      <c r="AF118" s="225">
        <v>200</v>
      </c>
      <c r="AG118" s="68">
        <v>-159</v>
      </c>
      <c r="AH118" s="17">
        <v>41</v>
      </c>
      <c r="AI118" s="225">
        <v>200</v>
      </c>
      <c r="AJ118" s="68">
        <v>-154.91999999999999</v>
      </c>
      <c r="AK118" s="17">
        <v>45.080000000000013</v>
      </c>
      <c r="AL118" s="225">
        <v>200</v>
      </c>
      <c r="AM118" s="68">
        <v>-155</v>
      </c>
      <c r="AN118" s="17">
        <v>45</v>
      </c>
      <c r="AO118" s="225">
        <v>200</v>
      </c>
      <c r="AP118" s="68">
        <v>-154</v>
      </c>
      <c r="AQ118" s="17">
        <v>46</v>
      </c>
      <c r="AR118" s="68">
        <v>200</v>
      </c>
      <c r="AS118" s="68">
        <v>0</v>
      </c>
      <c r="AT118" s="17">
        <v>200</v>
      </c>
    </row>
    <row r="119" spans="4:46" outlineLevel="2">
      <c r="D119" s="18" t="s">
        <v>10</v>
      </c>
      <c r="E119" s="225">
        <v>160</v>
      </c>
      <c r="F119" s="68">
        <v>0</v>
      </c>
      <c r="G119" s="17">
        <v>160</v>
      </c>
      <c r="H119" s="69">
        <f t="shared" si="41"/>
        <v>0</v>
      </c>
      <c r="J119" s="67" t="s">
        <v>10</v>
      </c>
      <c r="K119" s="225">
        <v>20</v>
      </c>
      <c r="L119" s="68">
        <v>0</v>
      </c>
      <c r="M119" s="17">
        <v>20</v>
      </c>
      <c r="N119" s="225">
        <v>20</v>
      </c>
      <c r="O119" s="68">
        <v>0</v>
      </c>
      <c r="P119" s="17">
        <v>20</v>
      </c>
      <c r="Q119" s="225">
        <v>20</v>
      </c>
      <c r="R119" s="68">
        <v>0</v>
      </c>
      <c r="S119" s="17">
        <v>20</v>
      </c>
      <c r="T119" s="225">
        <v>20</v>
      </c>
      <c r="U119" s="68">
        <v>0</v>
      </c>
      <c r="V119" s="17">
        <v>20</v>
      </c>
      <c r="W119" s="225">
        <v>20</v>
      </c>
      <c r="X119" s="68">
        <v>0</v>
      </c>
      <c r="Y119" s="17">
        <v>20</v>
      </c>
      <c r="Z119" s="225">
        <v>20</v>
      </c>
      <c r="AA119" s="68">
        <v>0</v>
      </c>
      <c r="AB119" s="68">
        <v>20</v>
      </c>
      <c r="AC119" s="225">
        <v>20</v>
      </c>
      <c r="AD119" s="68">
        <v>0</v>
      </c>
      <c r="AE119" s="17">
        <v>20</v>
      </c>
      <c r="AF119" s="225">
        <v>20</v>
      </c>
      <c r="AG119" s="68">
        <v>0</v>
      </c>
      <c r="AH119" s="17">
        <v>20</v>
      </c>
      <c r="AI119" s="225">
        <v>0</v>
      </c>
      <c r="AJ119" s="68">
        <v>0</v>
      </c>
      <c r="AK119" s="17">
        <v>0</v>
      </c>
      <c r="AL119" s="225">
        <v>0</v>
      </c>
      <c r="AM119" s="68">
        <v>0</v>
      </c>
      <c r="AN119" s="17">
        <v>0</v>
      </c>
      <c r="AO119" s="225">
        <v>0</v>
      </c>
      <c r="AP119" s="68">
        <v>0</v>
      </c>
      <c r="AQ119" s="17">
        <v>0</v>
      </c>
      <c r="AR119" s="68">
        <v>0</v>
      </c>
      <c r="AS119" s="68">
        <v>0</v>
      </c>
      <c r="AT119" s="17">
        <v>0</v>
      </c>
    </row>
    <row r="120" spans="4:46" outlineLevel="2">
      <c r="D120" s="18" t="s">
        <v>11</v>
      </c>
      <c r="E120" s="225">
        <v>830</v>
      </c>
      <c r="F120" s="68">
        <v>-1312</v>
      </c>
      <c r="G120" s="17">
        <v>-482</v>
      </c>
      <c r="H120" s="69">
        <f t="shared" si="41"/>
        <v>1.0512940973602501E-2</v>
      </c>
      <c r="J120" s="67" t="s">
        <v>11</v>
      </c>
      <c r="K120" s="225">
        <v>50</v>
      </c>
      <c r="L120" s="68">
        <v>0</v>
      </c>
      <c r="M120" s="17">
        <v>50</v>
      </c>
      <c r="N120" s="225">
        <v>20</v>
      </c>
      <c r="O120" s="68">
        <v>0</v>
      </c>
      <c r="P120" s="17">
        <v>20</v>
      </c>
      <c r="Q120" s="225">
        <v>20</v>
      </c>
      <c r="R120" s="68">
        <v>0</v>
      </c>
      <c r="S120" s="17">
        <v>20</v>
      </c>
      <c r="T120" s="225">
        <v>20</v>
      </c>
      <c r="U120" s="68">
        <v>-100</v>
      </c>
      <c r="V120" s="17">
        <v>-80</v>
      </c>
      <c r="W120" s="225">
        <v>20</v>
      </c>
      <c r="X120" s="68">
        <v>-40</v>
      </c>
      <c r="Y120" s="17">
        <v>-20</v>
      </c>
      <c r="Z120" s="225">
        <v>20</v>
      </c>
      <c r="AA120" s="68">
        <v>-80</v>
      </c>
      <c r="AB120" s="68">
        <v>-60</v>
      </c>
      <c r="AC120" s="225">
        <v>20</v>
      </c>
      <c r="AD120" s="68">
        <v>0</v>
      </c>
      <c r="AE120" s="17">
        <v>20</v>
      </c>
      <c r="AF120" s="225">
        <v>20</v>
      </c>
      <c r="AG120" s="68">
        <v>-269</v>
      </c>
      <c r="AH120" s="17">
        <v>-249</v>
      </c>
      <c r="AI120" s="225">
        <v>20</v>
      </c>
      <c r="AJ120" s="68">
        <v>-118</v>
      </c>
      <c r="AK120" s="17">
        <v>-98</v>
      </c>
      <c r="AL120" s="225">
        <v>20</v>
      </c>
      <c r="AM120" s="68">
        <v>-136</v>
      </c>
      <c r="AN120" s="17">
        <v>-116</v>
      </c>
      <c r="AO120" s="225">
        <v>20</v>
      </c>
      <c r="AP120" s="68">
        <v>-140</v>
      </c>
      <c r="AQ120" s="17">
        <v>-120</v>
      </c>
      <c r="AR120" s="68">
        <v>20</v>
      </c>
      <c r="AS120" s="68">
        <v>-429</v>
      </c>
      <c r="AT120" s="17">
        <v>20</v>
      </c>
    </row>
    <row r="121" spans="4:46" outlineLevel="2">
      <c r="D121" s="18" t="s">
        <v>12</v>
      </c>
      <c r="E121" s="225">
        <v>3900</v>
      </c>
      <c r="F121" s="68">
        <v>-5262.76</v>
      </c>
      <c r="G121" s="17">
        <v>-1362.7600000000002</v>
      </c>
      <c r="H121" s="69">
        <f t="shared" si="41"/>
        <v>4.2170034480363036E-2</v>
      </c>
      <c r="J121" s="67" t="s">
        <v>12</v>
      </c>
      <c r="K121" s="225">
        <v>100</v>
      </c>
      <c r="L121" s="68">
        <v>-100</v>
      </c>
      <c r="M121" s="17">
        <v>0</v>
      </c>
      <c r="N121" s="225">
        <v>400</v>
      </c>
      <c r="O121" s="68">
        <v>-571.01</v>
      </c>
      <c r="P121" s="17">
        <v>-171.01</v>
      </c>
      <c r="Q121" s="225">
        <v>400</v>
      </c>
      <c r="R121" s="68">
        <v>-386.95</v>
      </c>
      <c r="S121" s="17">
        <v>13.050000000000011</v>
      </c>
      <c r="T121" s="225">
        <v>400</v>
      </c>
      <c r="U121" s="68">
        <v>-610.95000000000005</v>
      </c>
      <c r="V121" s="17">
        <v>-210.95000000000005</v>
      </c>
      <c r="W121" s="225">
        <v>400</v>
      </c>
      <c r="X121" s="68">
        <v>-277.95</v>
      </c>
      <c r="Y121" s="17">
        <v>122.05000000000001</v>
      </c>
      <c r="Z121" s="225">
        <v>400</v>
      </c>
      <c r="AA121" s="68">
        <v>-95.61</v>
      </c>
      <c r="AB121" s="68">
        <v>304.39</v>
      </c>
      <c r="AC121" s="225">
        <v>400</v>
      </c>
      <c r="AD121" s="68">
        <v>-275</v>
      </c>
      <c r="AE121" s="17">
        <v>125</v>
      </c>
      <c r="AF121" s="225">
        <v>400</v>
      </c>
      <c r="AG121" s="68">
        <v>-505</v>
      </c>
      <c r="AH121" s="17">
        <v>-105</v>
      </c>
      <c r="AI121" s="225">
        <v>400</v>
      </c>
      <c r="AJ121" s="68">
        <v>-365.45</v>
      </c>
      <c r="AK121" s="17">
        <v>34.550000000000011</v>
      </c>
      <c r="AL121" s="225">
        <v>400</v>
      </c>
      <c r="AM121" s="68">
        <v>-521</v>
      </c>
      <c r="AN121" s="17">
        <v>-121</v>
      </c>
      <c r="AO121" s="225">
        <v>100</v>
      </c>
      <c r="AP121" s="68">
        <v>-475.84000000000003</v>
      </c>
      <c r="AQ121" s="17">
        <v>-236</v>
      </c>
      <c r="AR121" s="68">
        <v>100</v>
      </c>
      <c r="AS121" s="68">
        <v>-1078</v>
      </c>
      <c r="AT121" s="17">
        <v>100</v>
      </c>
    </row>
    <row r="122" spans="4:46" outlineLevel="2">
      <c r="D122" s="18" t="s">
        <v>13</v>
      </c>
      <c r="E122" s="225">
        <v>4750</v>
      </c>
      <c r="F122" s="68">
        <v>-11035.09</v>
      </c>
      <c r="G122" s="17">
        <v>-6285.09</v>
      </c>
      <c r="H122" s="69">
        <f t="shared" si="41"/>
        <v>8.8423208695420141E-2</v>
      </c>
      <c r="J122" s="67" t="s">
        <v>13</v>
      </c>
      <c r="K122" s="225">
        <v>350</v>
      </c>
      <c r="L122" s="68">
        <v>-839.19</v>
      </c>
      <c r="M122" s="17">
        <v>-489.19000000000005</v>
      </c>
      <c r="N122" s="225">
        <v>400</v>
      </c>
      <c r="O122" s="68">
        <v>-967.44</v>
      </c>
      <c r="P122" s="17">
        <v>-567.44000000000005</v>
      </c>
      <c r="Q122" s="225">
        <v>400</v>
      </c>
      <c r="R122" s="68">
        <v>-1572</v>
      </c>
      <c r="S122" s="17">
        <v>-1172</v>
      </c>
      <c r="T122" s="225">
        <v>400</v>
      </c>
      <c r="U122" s="68">
        <v>-1134</v>
      </c>
      <c r="V122" s="17">
        <v>-734</v>
      </c>
      <c r="W122" s="225">
        <v>400</v>
      </c>
      <c r="X122" s="68">
        <v>-1293.1199999999999</v>
      </c>
      <c r="Y122" s="17">
        <v>-893.11999999999989</v>
      </c>
      <c r="Z122" s="225">
        <v>400</v>
      </c>
      <c r="AA122" s="68">
        <v>-680.19</v>
      </c>
      <c r="AB122" s="68">
        <v>-280.19000000000005</v>
      </c>
      <c r="AC122" s="225">
        <v>400</v>
      </c>
      <c r="AD122" s="68">
        <v>-507</v>
      </c>
      <c r="AE122" s="17">
        <v>-107</v>
      </c>
      <c r="AF122" s="225">
        <v>400</v>
      </c>
      <c r="AG122" s="68">
        <v>-252.15</v>
      </c>
      <c r="AH122" s="17">
        <v>147.85</v>
      </c>
      <c r="AI122" s="225">
        <v>400</v>
      </c>
      <c r="AJ122" s="68">
        <v>-810</v>
      </c>
      <c r="AK122" s="17">
        <v>-410</v>
      </c>
      <c r="AL122" s="225">
        <v>400</v>
      </c>
      <c r="AM122" s="68">
        <v>-1678</v>
      </c>
      <c r="AN122" s="17">
        <v>-1278</v>
      </c>
      <c r="AO122" s="225">
        <v>400</v>
      </c>
      <c r="AP122" s="68">
        <v>-1125</v>
      </c>
      <c r="AQ122" s="17">
        <v>-56</v>
      </c>
      <c r="AR122" s="68">
        <v>400</v>
      </c>
      <c r="AS122" s="68">
        <v>-177</v>
      </c>
      <c r="AT122" s="17">
        <v>400</v>
      </c>
    </row>
    <row r="123" spans="4:46" outlineLevel="2">
      <c r="D123" s="47" t="s">
        <v>14</v>
      </c>
      <c r="E123" s="225">
        <v>1200</v>
      </c>
      <c r="F123" s="68">
        <v>-3740.96</v>
      </c>
      <c r="G123" s="17">
        <v>-2540.96</v>
      </c>
      <c r="H123" s="69">
        <f t="shared" si="41"/>
        <v>2.9975984500463425E-2</v>
      </c>
      <c r="J123" s="70" t="s">
        <v>14</v>
      </c>
      <c r="K123" s="225">
        <v>100</v>
      </c>
      <c r="L123" s="68">
        <v>-666</v>
      </c>
      <c r="M123" s="17">
        <v>-566</v>
      </c>
      <c r="N123" s="225">
        <v>100</v>
      </c>
      <c r="O123" s="68">
        <v>-105</v>
      </c>
      <c r="P123" s="17">
        <v>-5</v>
      </c>
      <c r="Q123" s="225">
        <v>100</v>
      </c>
      <c r="R123" s="68">
        <v>-181</v>
      </c>
      <c r="S123" s="17">
        <v>-81</v>
      </c>
      <c r="T123" s="225">
        <v>100</v>
      </c>
      <c r="U123" s="68">
        <v>-596</v>
      </c>
      <c r="V123" s="17">
        <v>-496</v>
      </c>
      <c r="W123" s="225">
        <v>100</v>
      </c>
      <c r="X123" s="68">
        <v>-368.97</v>
      </c>
      <c r="Y123" s="17">
        <v>-268.97000000000003</v>
      </c>
      <c r="Z123" s="225">
        <v>100</v>
      </c>
      <c r="AA123" s="68">
        <v>-216</v>
      </c>
      <c r="AB123" s="68">
        <v>-116</v>
      </c>
      <c r="AC123" s="225">
        <v>100</v>
      </c>
      <c r="AD123" s="68">
        <v>-32.99</v>
      </c>
      <c r="AE123" s="17">
        <v>67.009999999999991</v>
      </c>
      <c r="AF123" s="225">
        <v>100</v>
      </c>
      <c r="AG123" s="68">
        <v>-72</v>
      </c>
      <c r="AH123" s="17">
        <v>28</v>
      </c>
      <c r="AI123" s="225">
        <v>100</v>
      </c>
      <c r="AJ123" s="68">
        <v>-758</v>
      </c>
      <c r="AK123" s="17">
        <v>-658</v>
      </c>
      <c r="AL123" s="225">
        <v>100</v>
      </c>
      <c r="AM123" s="68">
        <v>-215</v>
      </c>
      <c r="AN123" s="17">
        <v>-115</v>
      </c>
      <c r="AO123" s="225">
        <v>100</v>
      </c>
      <c r="AP123" s="68">
        <v>0</v>
      </c>
      <c r="AQ123" s="17">
        <v>100</v>
      </c>
      <c r="AR123" s="68">
        <v>100</v>
      </c>
      <c r="AS123" s="68">
        <v>-530</v>
      </c>
      <c r="AT123" s="17">
        <v>100</v>
      </c>
    </row>
    <row r="124" spans="4:46" outlineLevel="2">
      <c r="D124" s="18" t="s">
        <v>15</v>
      </c>
      <c r="E124" s="225">
        <v>3600</v>
      </c>
      <c r="F124" s="68">
        <v>-5705.16</v>
      </c>
      <c r="G124" s="17">
        <v>-2105.16</v>
      </c>
      <c r="H124" s="69">
        <f t="shared" si="41"/>
        <v>4.5714946894022904E-2</v>
      </c>
      <c r="J124" s="67" t="s">
        <v>15</v>
      </c>
      <c r="K124" s="225">
        <v>300</v>
      </c>
      <c r="L124" s="68">
        <v>-162.1</v>
      </c>
      <c r="M124" s="17">
        <v>137.9</v>
      </c>
      <c r="N124" s="225">
        <v>300</v>
      </c>
      <c r="O124" s="68">
        <v>-320.72000000000003</v>
      </c>
      <c r="P124" s="17">
        <v>-20.720000000000027</v>
      </c>
      <c r="Q124" s="225">
        <v>300</v>
      </c>
      <c r="R124" s="68">
        <v>-458</v>
      </c>
      <c r="S124" s="17">
        <v>-158</v>
      </c>
      <c r="T124" s="225">
        <v>300</v>
      </c>
      <c r="U124" s="68">
        <v>-338</v>
      </c>
      <c r="V124" s="17">
        <v>-38</v>
      </c>
      <c r="W124" s="225">
        <v>300</v>
      </c>
      <c r="X124" s="68">
        <v>-576</v>
      </c>
      <c r="Y124" s="17">
        <v>-276</v>
      </c>
      <c r="Z124" s="225">
        <v>300</v>
      </c>
      <c r="AA124" s="68">
        <v>-623</v>
      </c>
      <c r="AB124" s="68">
        <v>-323</v>
      </c>
      <c r="AC124" s="225">
        <v>300</v>
      </c>
      <c r="AD124" s="68">
        <v>-201</v>
      </c>
      <c r="AE124" s="17">
        <v>99</v>
      </c>
      <c r="AF124" s="225">
        <v>300</v>
      </c>
      <c r="AG124" s="68">
        <v>-715.14</v>
      </c>
      <c r="AH124" s="17">
        <v>-415.14</v>
      </c>
      <c r="AI124" s="225">
        <v>300</v>
      </c>
      <c r="AJ124" s="68">
        <v>-383</v>
      </c>
      <c r="AK124" s="17">
        <v>-83</v>
      </c>
      <c r="AL124" s="225">
        <v>300</v>
      </c>
      <c r="AM124" s="68">
        <v>-953.2</v>
      </c>
      <c r="AN124" s="17">
        <v>-653.20000000000005</v>
      </c>
      <c r="AO124" s="225">
        <v>300</v>
      </c>
      <c r="AP124" s="68">
        <v>-679</v>
      </c>
      <c r="AQ124" s="17">
        <v>-262</v>
      </c>
      <c r="AR124" s="68">
        <v>300</v>
      </c>
      <c r="AS124" s="68">
        <v>-296</v>
      </c>
      <c r="AT124" s="17">
        <v>300</v>
      </c>
    </row>
    <row r="125" spans="4:46" outlineLevel="2">
      <c r="D125" s="18" t="s">
        <v>16</v>
      </c>
      <c r="E125" s="225">
        <v>1200</v>
      </c>
      <c r="F125" s="68">
        <v>-6738.3</v>
      </c>
      <c r="G125" s="17">
        <v>-5538.3</v>
      </c>
      <c r="H125" s="69">
        <f t="shared" si="41"/>
        <v>5.3993407135995229E-2</v>
      </c>
      <c r="J125" s="67" t="s">
        <v>16</v>
      </c>
      <c r="K125" s="225">
        <v>150</v>
      </c>
      <c r="L125" s="68">
        <v>0</v>
      </c>
      <c r="M125" s="17">
        <v>150</v>
      </c>
      <c r="N125" s="225">
        <v>50</v>
      </c>
      <c r="O125" s="68">
        <v>-236.32999999999998</v>
      </c>
      <c r="P125" s="17">
        <v>-186.32999999999998</v>
      </c>
      <c r="Q125" s="225">
        <v>50</v>
      </c>
      <c r="R125" s="68">
        <v>-396</v>
      </c>
      <c r="S125" s="17">
        <v>-346</v>
      </c>
      <c r="T125" s="225">
        <v>200</v>
      </c>
      <c r="U125" s="68">
        <v>0</v>
      </c>
      <c r="V125" s="17">
        <v>200</v>
      </c>
      <c r="W125" s="225">
        <v>50</v>
      </c>
      <c r="X125" s="68">
        <v>-258.97000000000003</v>
      </c>
      <c r="Y125" s="17">
        <v>-208.97000000000003</v>
      </c>
      <c r="Z125" s="225">
        <v>50</v>
      </c>
      <c r="AA125" s="68">
        <v>-1224</v>
      </c>
      <c r="AB125" s="68">
        <v>-1174</v>
      </c>
      <c r="AC125" s="225">
        <v>200</v>
      </c>
      <c r="AD125" s="68">
        <v>-205</v>
      </c>
      <c r="AE125" s="17">
        <v>-5</v>
      </c>
      <c r="AF125" s="225">
        <v>50</v>
      </c>
      <c r="AG125" s="68">
        <v>-401</v>
      </c>
      <c r="AH125" s="17">
        <v>-351</v>
      </c>
      <c r="AI125" s="225">
        <v>50</v>
      </c>
      <c r="AJ125" s="68">
        <v>-389</v>
      </c>
      <c r="AK125" s="17">
        <v>-339</v>
      </c>
      <c r="AL125" s="225">
        <v>50</v>
      </c>
      <c r="AM125" s="68">
        <v>-720</v>
      </c>
      <c r="AN125" s="17">
        <v>-670</v>
      </c>
      <c r="AO125" s="225">
        <v>50</v>
      </c>
      <c r="AP125" s="68">
        <v>-1517</v>
      </c>
      <c r="AQ125" s="17">
        <v>-681</v>
      </c>
      <c r="AR125" s="68">
        <v>250</v>
      </c>
      <c r="AS125" s="68">
        <v>-1391</v>
      </c>
      <c r="AT125" s="17">
        <v>250</v>
      </c>
    </row>
    <row r="126" spans="4:46" outlineLevel="2">
      <c r="D126" s="18" t="s">
        <v>17</v>
      </c>
      <c r="E126" s="225">
        <v>3700</v>
      </c>
      <c r="F126" s="68">
        <v>-11179.2</v>
      </c>
      <c r="G126" s="17">
        <v>-7479.2000000000007</v>
      </c>
      <c r="H126" s="69">
        <f t="shared" si="41"/>
        <v>8.9577949490927664E-2</v>
      </c>
      <c r="J126" s="67" t="s">
        <v>17</v>
      </c>
      <c r="K126" s="225">
        <v>400</v>
      </c>
      <c r="L126" s="68">
        <v>-1301.79</v>
      </c>
      <c r="M126" s="17">
        <v>-901.79</v>
      </c>
      <c r="N126" s="225">
        <v>300</v>
      </c>
      <c r="O126" s="68">
        <v>-1069.1699999999998</v>
      </c>
      <c r="P126" s="17">
        <v>-769.16999999999985</v>
      </c>
      <c r="Q126" s="225">
        <v>300</v>
      </c>
      <c r="R126" s="68">
        <v>-1106.5</v>
      </c>
      <c r="S126" s="17">
        <v>-806.5</v>
      </c>
      <c r="T126" s="225">
        <v>300</v>
      </c>
      <c r="U126" s="68">
        <v>-893</v>
      </c>
      <c r="V126" s="17">
        <v>-593</v>
      </c>
      <c r="W126" s="225">
        <v>300</v>
      </c>
      <c r="X126" s="68">
        <v>-873</v>
      </c>
      <c r="Y126" s="17">
        <v>-573</v>
      </c>
      <c r="Z126" s="225">
        <v>300</v>
      </c>
      <c r="AA126" s="68">
        <v>-656</v>
      </c>
      <c r="AB126" s="68">
        <v>-356</v>
      </c>
      <c r="AC126" s="225">
        <v>300</v>
      </c>
      <c r="AD126" s="68">
        <v>-495</v>
      </c>
      <c r="AE126" s="17">
        <v>-195</v>
      </c>
      <c r="AF126" s="225">
        <v>300</v>
      </c>
      <c r="AG126" s="68">
        <v>-1298.95</v>
      </c>
      <c r="AH126" s="17">
        <v>-998.95</v>
      </c>
      <c r="AI126" s="225">
        <v>300</v>
      </c>
      <c r="AJ126" s="68">
        <v>-1000.79</v>
      </c>
      <c r="AK126" s="17">
        <v>-700.79</v>
      </c>
      <c r="AL126" s="225">
        <v>300</v>
      </c>
      <c r="AM126" s="68">
        <v>-734</v>
      </c>
      <c r="AN126" s="17">
        <v>-434</v>
      </c>
      <c r="AO126" s="225">
        <v>300</v>
      </c>
      <c r="AP126" s="68">
        <v>-1626</v>
      </c>
      <c r="AQ126" s="17">
        <v>53</v>
      </c>
      <c r="AR126" s="68">
        <v>300</v>
      </c>
      <c r="AS126" s="68">
        <v>-125</v>
      </c>
      <c r="AT126" s="17">
        <v>300</v>
      </c>
    </row>
    <row r="127" spans="4:46" outlineLevel="2">
      <c r="D127" s="18" t="s">
        <v>18</v>
      </c>
      <c r="E127" s="225">
        <v>1200</v>
      </c>
      <c r="F127" s="68">
        <v>-2405.21</v>
      </c>
      <c r="G127" s="17">
        <v>-1205.21</v>
      </c>
      <c r="H127" s="69">
        <f t="shared" si="41"/>
        <v>1.9272736859084202E-2</v>
      </c>
      <c r="J127" s="67" t="s">
        <v>18</v>
      </c>
      <c r="K127" s="225">
        <v>100</v>
      </c>
      <c r="L127" s="68">
        <v>-135</v>
      </c>
      <c r="M127" s="17">
        <v>-35</v>
      </c>
      <c r="N127" s="225">
        <v>100</v>
      </c>
      <c r="O127" s="68">
        <v>-130</v>
      </c>
      <c r="P127" s="17">
        <v>-30</v>
      </c>
      <c r="Q127" s="225">
        <v>100</v>
      </c>
      <c r="R127" s="68">
        <v>-130</v>
      </c>
      <c r="S127" s="17">
        <v>-30</v>
      </c>
      <c r="T127" s="225">
        <v>100</v>
      </c>
      <c r="U127" s="68">
        <v>-163</v>
      </c>
      <c r="V127" s="17">
        <v>-63</v>
      </c>
      <c r="W127" s="225">
        <v>100</v>
      </c>
      <c r="X127" s="68">
        <v>-123</v>
      </c>
      <c r="Y127" s="17">
        <v>-23</v>
      </c>
      <c r="Z127" s="225">
        <v>100</v>
      </c>
      <c r="AA127" s="68">
        <v>-140</v>
      </c>
      <c r="AB127" s="68">
        <v>-40</v>
      </c>
      <c r="AC127" s="225">
        <v>100</v>
      </c>
      <c r="AD127" s="68">
        <v>-60</v>
      </c>
      <c r="AE127" s="17">
        <v>40</v>
      </c>
      <c r="AF127" s="225">
        <v>100</v>
      </c>
      <c r="AG127" s="68">
        <v>-254</v>
      </c>
      <c r="AH127" s="17">
        <v>-154</v>
      </c>
      <c r="AI127" s="225">
        <v>100</v>
      </c>
      <c r="AJ127" s="68">
        <v>-243.21</v>
      </c>
      <c r="AK127" s="17">
        <v>-143.21</v>
      </c>
      <c r="AL127" s="225">
        <v>100</v>
      </c>
      <c r="AM127" s="68">
        <v>-680</v>
      </c>
      <c r="AN127" s="17">
        <v>-580</v>
      </c>
      <c r="AO127" s="225">
        <v>100</v>
      </c>
      <c r="AP127" s="68">
        <v>-347</v>
      </c>
      <c r="AQ127" s="17">
        <v>-52</v>
      </c>
      <c r="AR127" s="68">
        <v>100</v>
      </c>
      <c r="AS127" s="68">
        <v>0</v>
      </c>
      <c r="AT127" s="17">
        <v>100</v>
      </c>
    </row>
    <row r="128" spans="4:46" outlineLevel="2">
      <c r="D128" s="18" t="s">
        <v>19</v>
      </c>
      <c r="E128" s="225">
        <v>0</v>
      </c>
      <c r="F128" s="68">
        <v>-1088</v>
      </c>
      <c r="G128" s="17">
        <v>-1088</v>
      </c>
      <c r="H128" s="69">
        <f t="shared" si="41"/>
        <v>8.718048612255733E-3</v>
      </c>
      <c r="J128" s="67" t="s">
        <v>19</v>
      </c>
      <c r="K128" s="225">
        <v>0</v>
      </c>
      <c r="L128" s="68">
        <v>0</v>
      </c>
      <c r="M128" s="17">
        <v>0</v>
      </c>
      <c r="N128" s="225">
        <v>0</v>
      </c>
      <c r="O128" s="68">
        <v>0</v>
      </c>
      <c r="P128" s="17">
        <v>0</v>
      </c>
      <c r="Q128" s="225">
        <v>0</v>
      </c>
      <c r="R128" s="68">
        <v>0</v>
      </c>
      <c r="S128" s="17">
        <v>0</v>
      </c>
      <c r="T128" s="225">
        <v>0</v>
      </c>
      <c r="U128" s="68">
        <v>0</v>
      </c>
      <c r="V128" s="17">
        <v>0</v>
      </c>
      <c r="W128" s="225">
        <v>0</v>
      </c>
      <c r="X128" s="68">
        <v>0</v>
      </c>
      <c r="Y128" s="17">
        <v>0</v>
      </c>
      <c r="Z128" s="225">
        <v>0</v>
      </c>
      <c r="AA128" s="68">
        <v>0</v>
      </c>
      <c r="AB128" s="68">
        <v>0</v>
      </c>
      <c r="AC128" s="225">
        <v>0</v>
      </c>
      <c r="AD128" s="68">
        <v>0</v>
      </c>
      <c r="AE128" s="17">
        <v>0</v>
      </c>
      <c r="AF128" s="225">
        <v>0</v>
      </c>
      <c r="AG128" s="68">
        <v>0</v>
      </c>
      <c r="AH128" s="17">
        <v>0</v>
      </c>
      <c r="AI128" s="225">
        <v>0</v>
      </c>
      <c r="AJ128" s="68">
        <v>0</v>
      </c>
      <c r="AK128" s="17">
        <v>0</v>
      </c>
      <c r="AL128" s="225">
        <v>0</v>
      </c>
      <c r="AM128" s="68">
        <v>0</v>
      </c>
      <c r="AN128" s="17">
        <v>0</v>
      </c>
      <c r="AO128" s="225">
        <v>0</v>
      </c>
      <c r="AP128" s="68">
        <v>0</v>
      </c>
      <c r="AQ128" s="17">
        <v>0</v>
      </c>
      <c r="AR128" s="68">
        <v>0</v>
      </c>
      <c r="AS128" s="68">
        <v>-1088</v>
      </c>
      <c r="AT128" s="17">
        <v>0</v>
      </c>
    </row>
    <row r="129" spans="4:46" outlineLevel="2">
      <c r="D129" s="18" t="s">
        <v>20</v>
      </c>
      <c r="E129" s="225">
        <v>2400</v>
      </c>
      <c r="F129" s="68">
        <v>-10805.66</v>
      </c>
      <c r="G129" s="17">
        <v>-8405.66</v>
      </c>
      <c r="H129" s="69">
        <f t="shared" si="41"/>
        <v>8.6584806220135369E-2</v>
      </c>
      <c r="J129" s="67" t="s">
        <v>20</v>
      </c>
      <c r="K129" s="225">
        <v>200</v>
      </c>
      <c r="L129" s="68">
        <v>-457.89</v>
      </c>
      <c r="M129" s="17">
        <v>-257.89</v>
      </c>
      <c r="N129" s="225">
        <v>200</v>
      </c>
      <c r="O129" s="68">
        <v>-415.14</v>
      </c>
      <c r="P129" s="17">
        <v>-215.14</v>
      </c>
      <c r="Q129" s="225">
        <v>200</v>
      </c>
      <c r="R129" s="68">
        <v>-740</v>
      </c>
      <c r="S129" s="17">
        <v>-540</v>
      </c>
      <c r="T129" s="225">
        <v>200</v>
      </c>
      <c r="U129" s="68">
        <v>-2297</v>
      </c>
      <c r="V129" s="17">
        <v>-2097</v>
      </c>
      <c r="W129" s="225">
        <v>200</v>
      </c>
      <c r="X129" s="68">
        <v>-714.22</v>
      </c>
      <c r="Y129" s="17">
        <v>-514.22</v>
      </c>
      <c r="Z129" s="225">
        <v>200</v>
      </c>
      <c r="AA129" s="68">
        <v>-843.25</v>
      </c>
      <c r="AB129" s="68">
        <v>-643.25</v>
      </c>
      <c r="AC129" s="225">
        <v>200</v>
      </c>
      <c r="AD129" s="68">
        <v>-530</v>
      </c>
      <c r="AE129" s="17">
        <v>-330</v>
      </c>
      <c r="AF129" s="225">
        <v>200</v>
      </c>
      <c r="AG129" s="68">
        <v>-1685.9099999999999</v>
      </c>
      <c r="AH129" s="17">
        <v>-1485.9099999999999</v>
      </c>
      <c r="AI129" s="225">
        <v>200</v>
      </c>
      <c r="AJ129" s="68">
        <v>-928.25</v>
      </c>
      <c r="AK129" s="17">
        <v>-728.25</v>
      </c>
      <c r="AL129" s="225">
        <v>200</v>
      </c>
      <c r="AM129" s="68">
        <v>-1638</v>
      </c>
      <c r="AN129" s="17">
        <v>-1438</v>
      </c>
      <c r="AO129" s="225">
        <v>200</v>
      </c>
      <c r="AP129" s="68">
        <v>-318</v>
      </c>
      <c r="AQ129" s="17">
        <v>-118</v>
      </c>
      <c r="AR129" s="68">
        <v>200</v>
      </c>
      <c r="AS129" s="68">
        <v>-238</v>
      </c>
      <c r="AT129" s="17">
        <v>200</v>
      </c>
    </row>
    <row r="130" spans="4:46" outlineLevel="2">
      <c r="D130" s="18" t="s">
        <v>21</v>
      </c>
      <c r="E130" s="225">
        <v>1200</v>
      </c>
      <c r="F130" s="68">
        <v>-2179</v>
      </c>
      <c r="G130" s="17">
        <v>-979</v>
      </c>
      <c r="H130" s="69">
        <f t="shared" si="41"/>
        <v>1.7460135961493789E-2</v>
      </c>
      <c r="J130" s="67" t="s">
        <v>21</v>
      </c>
      <c r="K130" s="225">
        <v>100</v>
      </c>
      <c r="L130" s="68">
        <v>-50</v>
      </c>
      <c r="M130" s="17">
        <v>50</v>
      </c>
      <c r="N130" s="225">
        <v>100</v>
      </c>
      <c r="O130" s="68">
        <v>-38</v>
      </c>
      <c r="P130" s="17">
        <v>62</v>
      </c>
      <c r="Q130" s="225">
        <v>100</v>
      </c>
      <c r="R130" s="68">
        <v>-88</v>
      </c>
      <c r="S130" s="17">
        <v>12</v>
      </c>
      <c r="T130" s="225">
        <v>100</v>
      </c>
      <c r="U130" s="68">
        <v>-735</v>
      </c>
      <c r="V130" s="17">
        <v>-635</v>
      </c>
      <c r="W130" s="225">
        <v>100</v>
      </c>
      <c r="X130" s="68">
        <v>-48</v>
      </c>
      <c r="Y130" s="17">
        <v>52</v>
      </c>
      <c r="Z130" s="225">
        <v>100</v>
      </c>
      <c r="AA130" s="68">
        <v>-43</v>
      </c>
      <c r="AB130" s="68">
        <v>57</v>
      </c>
      <c r="AC130" s="225">
        <v>100</v>
      </c>
      <c r="AD130" s="68">
        <v>-138</v>
      </c>
      <c r="AE130" s="17">
        <v>-38</v>
      </c>
      <c r="AF130" s="225">
        <v>100</v>
      </c>
      <c r="AG130" s="68">
        <v>-225</v>
      </c>
      <c r="AH130" s="17">
        <v>-125</v>
      </c>
      <c r="AI130" s="225">
        <v>100</v>
      </c>
      <c r="AJ130" s="68">
        <v>-238</v>
      </c>
      <c r="AK130" s="17">
        <v>-138</v>
      </c>
      <c r="AL130" s="225">
        <v>100</v>
      </c>
      <c r="AM130" s="68">
        <v>-288</v>
      </c>
      <c r="AN130" s="17">
        <v>-188</v>
      </c>
      <c r="AO130" s="225">
        <v>100</v>
      </c>
      <c r="AP130" s="68">
        <v>-288</v>
      </c>
      <c r="AQ130" s="17">
        <v>-138</v>
      </c>
      <c r="AR130" s="68">
        <v>100</v>
      </c>
      <c r="AS130" s="68">
        <v>0</v>
      </c>
      <c r="AT130" s="17">
        <v>100</v>
      </c>
    </row>
    <row r="131" spans="4:46" outlineLevel="2">
      <c r="D131" s="18" t="s">
        <v>22</v>
      </c>
      <c r="E131" s="225">
        <v>43200</v>
      </c>
      <c r="F131" s="68">
        <v>-38169.71</v>
      </c>
      <c r="G131" s="17">
        <v>5030.2900000000009</v>
      </c>
      <c r="H131" s="69">
        <f t="shared" si="41"/>
        <v>0.30585053979384536</v>
      </c>
      <c r="J131" s="67" t="s">
        <v>22</v>
      </c>
      <c r="K131" s="225">
        <v>3600</v>
      </c>
      <c r="L131" s="68">
        <v>-3614</v>
      </c>
      <c r="M131" s="17">
        <v>-14</v>
      </c>
      <c r="N131" s="225">
        <v>3600</v>
      </c>
      <c r="O131" s="68">
        <v>-3614.19</v>
      </c>
      <c r="P131" s="17">
        <v>-14.190000000000055</v>
      </c>
      <c r="Q131" s="225">
        <v>3600</v>
      </c>
      <c r="R131" s="68">
        <v>-3614.19</v>
      </c>
      <c r="S131" s="17">
        <v>-14.190000000000055</v>
      </c>
      <c r="T131" s="225">
        <v>3600</v>
      </c>
      <c r="U131" s="68">
        <v>-3614.19</v>
      </c>
      <c r="V131" s="17">
        <v>-14.190000000000055</v>
      </c>
      <c r="W131" s="225">
        <v>3600</v>
      </c>
      <c r="X131" s="68">
        <v>-3614.19</v>
      </c>
      <c r="Y131" s="17">
        <v>-14.190000000000055</v>
      </c>
      <c r="Z131" s="225">
        <v>3600</v>
      </c>
      <c r="AA131" s="68">
        <v>-3614.19</v>
      </c>
      <c r="AB131" s="68">
        <v>-14.190000000000055</v>
      </c>
      <c r="AC131" s="225">
        <v>3600</v>
      </c>
      <c r="AD131" s="68">
        <v>-1427</v>
      </c>
      <c r="AE131" s="17">
        <v>2173</v>
      </c>
      <c r="AF131" s="225">
        <v>3600</v>
      </c>
      <c r="AG131" s="68">
        <v>-3614.19</v>
      </c>
      <c r="AH131" s="17">
        <v>-14.190000000000055</v>
      </c>
      <c r="AI131" s="225">
        <v>3600</v>
      </c>
      <c r="AJ131" s="68">
        <v>0</v>
      </c>
      <c r="AK131" s="17">
        <v>3600</v>
      </c>
      <c r="AL131" s="225">
        <v>3600</v>
      </c>
      <c r="AM131" s="68">
        <v>-3614.19</v>
      </c>
      <c r="AN131" s="17">
        <v>-14.190000000000055</v>
      </c>
      <c r="AO131" s="225">
        <v>3600</v>
      </c>
      <c r="AP131" s="68">
        <v>-3614.19</v>
      </c>
      <c r="AQ131" s="17">
        <v>-14.190000000000055</v>
      </c>
      <c r="AR131" s="68">
        <v>3600</v>
      </c>
      <c r="AS131" s="68">
        <v>-4215.1900000000005</v>
      </c>
      <c r="AT131" s="17">
        <v>3600</v>
      </c>
    </row>
    <row r="132" spans="4:46" outlineLevel="2">
      <c r="D132" s="18" t="s">
        <v>23</v>
      </c>
      <c r="E132" s="225">
        <v>7383.3999999999987</v>
      </c>
      <c r="F132" s="68">
        <v>-10431</v>
      </c>
      <c r="G132" s="17">
        <v>-3047.6000000000013</v>
      </c>
      <c r="H132" s="69">
        <f t="shared" si="41"/>
        <v>8.3582688487536347E-2</v>
      </c>
      <c r="J132" s="67" t="s">
        <v>23</v>
      </c>
      <c r="K132" s="225">
        <v>150</v>
      </c>
      <c r="L132" s="68">
        <v>0</v>
      </c>
      <c r="M132" s="17">
        <v>150</v>
      </c>
      <c r="N132" s="225">
        <v>176.2</v>
      </c>
      <c r="O132" s="68">
        <v>-1453</v>
      </c>
      <c r="P132" s="17">
        <v>-1276.8</v>
      </c>
      <c r="Q132" s="225">
        <v>176.2</v>
      </c>
      <c r="R132" s="68">
        <v>-1594</v>
      </c>
      <c r="S132" s="17">
        <v>-1417.8</v>
      </c>
      <c r="T132" s="225">
        <v>0</v>
      </c>
      <c r="U132" s="68">
        <v>0</v>
      </c>
      <c r="V132" s="17">
        <v>0</v>
      </c>
      <c r="W132" s="225">
        <v>500</v>
      </c>
      <c r="X132" s="68">
        <v>-451</v>
      </c>
      <c r="Y132" s="17">
        <v>49</v>
      </c>
      <c r="Z132" s="225">
        <v>500</v>
      </c>
      <c r="AA132" s="68">
        <v>-565</v>
      </c>
      <c r="AB132" s="68">
        <v>-65</v>
      </c>
      <c r="AC132" s="225">
        <v>5000</v>
      </c>
      <c r="AD132" s="68">
        <v>-5296</v>
      </c>
      <c r="AE132" s="17">
        <v>-296</v>
      </c>
      <c r="AF132" s="225">
        <v>176.2</v>
      </c>
      <c r="AG132" s="68">
        <v>-422</v>
      </c>
      <c r="AH132" s="17">
        <v>-245.8</v>
      </c>
      <c r="AI132" s="225">
        <v>176.2</v>
      </c>
      <c r="AJ132" s="68">
        <v>-450</v>
      </c>
      <c r="AK132" s="17">
        <v>-273.8</v>
      </c>
      <c r="AL132" s="225">
        <v>176.2</v>
      </c>
      <c r="AM132" s="68">
        <v>-200</v>
      </c>
      <c r="AN132" s="17">
        <v>-23.800000000000011</v>
      </c>
      <c r="AO132" s="225">
        <v>176.2</v>
      </c>
      <c r="AP132" s="68">
        <v>0</v>
      </c>
      <c r="AQ132" s="17">
        <v>176.2</v>
      </c>
      <c r="AR132" s="68">
        <v>176.2</v>
      </c>
      <c r="AS132" s="68">
        <v>0</v>
      </c>
      <c r="AT132" s="17">
        <v>176.2</v>
      </c>
    </row>
    <row r="133" spans="4:46" outlineLevel="2">
      <c r="D133" s="18" t="s">
        <v>24</v>
      </c>
      <c r="E133" s="225">
        <v>2400</v>
      </c>
      <c r="F133" s="68">
        <v>-2459</v>
      </c>
      <c r="G133" s="17">
        <v>-59</v>
      </c>
      <c r="H133" s="69">
        <f t="shared" si="41"/>
        <v>1.9703751413177248E-2</v>
      </c>
      <c r="J133" s="67" t="s">
        <v>24</v>
      </c>
      <c r="K133" s="225">
        <v>200</v>
      </c>
      <c r="L133" s="68">
        <v>0</v>
      </c>
      <c r="M133" s="17">
        <v>200</v>
      </c>
      <c r="N133" s="225">
        <v>200</v>
      </c>
      <c r="O133" s="68">
        <v>-150</v>
      </c>
      <c r="P133" s="17">
        <v>50</v>
      </c>
      <c r="Q133" s="225">
        <v>200</v>
      </c>
      <c r="R133" s="68">
        <v>-150</v>
      </c>
      <c r="S133" s="17">
        <v>50</v>
      </c>
      <c r="T133" s="225">
        <v>200</v>
      </c>
      <c r="U133" s="68">
        <v>-169</v>
      </c>
      <c r="V133" s="17">
        <v>31</v>
      </c>
      <c r="W133" s="225">
        <v>200</v>
      </c>
      <c r="X133" s="68">
        <v>-150</v>
      </c>
      <c r="Y133" s="17">
        <v>50</v>
      </c>
      <c r="Z133" s="225">
        <v>200</v>
      </c>
      <c r="AA133" s="68">
        <v>0</v>
      </c>
      <c r="AB133" s="68">
        <v>200</v>
      </c>
      <c r="AC133" s="225">
        <v>200</v>
      </c>
      <c r="AD133" s="68">
        <v>0</v>
      </c>
      <c r="AE133" s="17">
        <v>200</v>
      </c>
      <c r="AF133" s="225">
        <v>200</v>
      </c>
      <c r="AG133" s="68">
        <v>-375</v>
      </c>
      <c r="AH133" s="17">
        <v>-175</v>
      </c>
      <c r="AI133" s="225">
        <v>200</v>
      </c>
      <c r="AJ133" s="68">
        <v>-405</v>
      </c>
      <c r="AK133" s="17">
        <v>-205</v>
      </c>
      <c r="AL133" s="225">
        <v>200</v>
      </c>
      <c r="AM133" s="68">
        <v>-560</v>
      </c>
      <c r="AN133" s="17">
        <v>-360</v>
      </c>
      <c r="AO133" s="225">
        <v>200</v>
      </c>
      <c r="AP133" s="68">
        <v>0</v>
      </c>
      <c r="AQ133" s="17">
        <v>200</v>
      </c>
      <c r="AR133" s="68">
        <v>200</v>
      </c>
      <c r="AS133" s="68">
        <v>-500</v>
      </c>
      <c r="AT133" s="17">
        <v>200</v>
      </c>
    </row>
    <row r="134" spans="4:46" outlineLevel="2">
      <c r="D134" s="18" t="s">
        <v>25</v>
      </c>
      <c r="E134" s="225">
        <v>2273</v>
      </c>
      <c r="F134" s="68">
        <v>-3632</v>
      </c>
      <c r="G134" s="17">
        <v>-1359</v>
      </c>
      <c r="H134" s="69">
        <f t="shared" si="41"/>
        <v>2.9102897573265462E-2</v>
      </c>
      <c r="J134" s="67" t="s">
        <v>25</v>
      </c>
      <c r="K134" s="225">
        <v>500</v>
      </c>
      <c r="L134" s="68">
        <v>0</v>
      </c>
      <c r="M134" s="17">
        <v>500</v>
      </c>
      <c r="N134" s="225">
        <v>500</v>
      </c>
      <c r="O134" s="68">
        <v>-1350</v>
      </c>
      <c r="P134" s="17">
        <v>-850</v>
      </c>
      <c r="Q134" s="225">
        <v>500</v>
      </c>
      <c r="R134" s="68">
        <v>0</v>
      </c>
      <c r="S134" s="17">
        <v>500</v>
      </c>
      <c r="T134" s="225">
        <v>0</v>
      </c>
      <c r="U134" s="68">
        <v>-275</v>
      </c>
      <c r="V134" s="17">
        <v>-275</v>
      </c>
      <c r="W134" s="225">
        <v>0</v>
      </c>
      <c r="X134" s="68">
        <v>0</v>
      </c>
      <c r="Y134" s="17">
        <v>0</v>
      </c>
      <c r="Z134" s="225">
        <v>0</v>
      </c>
      <c r="AA134" s="68">
        <v>0</v>
      </c>
      <c r="AB134" s="68">
        <v>0</v>
      </c>
      <c r="AC134" s="225">
        <v>0</v>
      </c>
      <c r="AD134" s="68">
        <v>-812</v>
      </c>
      <c r="AE134" s="17">
        <v>-812</v>
      </c>
      <c r="AF134" s="225">
        <v>523</v>
      </c>
      <c r="AG134" s="68">
        <v>-160</v>
      </c>
      <c r="AH134" s="17">
        <v>363</v>
      </c>
      <c r="AI134" s="225">
        <v>100</v>
      </c>
      <c r="AJ134" s="68">
        <v>-448</v>
      </c>
      <c r="AK134" s="17">
        <v>-348</v>
      </c>
      <c r="AL134" s="225">
        <v>0</v>
      </c>
      <c r="AM134" s="68">
        <v>-487</v>
      </c>
      <c r="AN134" s="17">
        <v>-487</v>
      </c>
      <c r="AO134" s="225">
        <v>0</v>
      </c>
      <c r="AP134" s="68">
        <v>-100</v>
      </c>
      <c r="AQ134" s="17">
        <v>0</v>
      </c>
      <c r="AR134" s="68">
        <v>0</v>
      </c>
      <c r="AS134" s="68">
        <v>0</v>
      </c>
      <c r="AT134" s="17">
        <v>0</v>
      </c>
    </row>
    <row r="135" spans="4:46" outlineLevel="2">
      <c r="D135" s="18" t="s">
        <v>26</v>
      </c>
      <c r="E135" s="225">
        <v>2400</v>
      </c>
      <c r="F135" s="68">
        <v>-3080.19</v>
      </c>
      <c r="G135" s="17">
        <v>-680.19</v>
      </c>
      <c r="H135" s="69">
        <f t="shared" si="41"/>
        <v>2.468129242186028E-2</v>
      </c>
      <c r="J135" s="67" t="s">
        <v>26</v>
      </c>
      <c r="K135" s="225">
        <v>200</v>
      </c>
      <c r="L135" s="68">
        <v>-140</v>
      </c>
      <c r="M135" s="17">
        <v>60</v>
      </c>
      <c r="N135" s="225">
        <v>200</v>
      </c>
      <c r="O135" s="68">
        <v>0</v>
      </c>
      <c r="P135" s="17">
        <v>200</v>
      </c>
      <c r="Q135" s="225">
        <v>200</v>
      </c>
      <c r="R135" s="68">
        <v>-1248</v>
      </c>
      <c r="S135" s="17">
        <v>-1048</v>
      </c>
      <c r="T135" s="225">
        <v>200</v>
      </c>
      <c r="U135" s="68">
        <v>0</v>
      </c>
      <c r="V135" s="17">
        <v>200</v>
      </c>
      <c r="W135" s="225">
        <v>200</v>
      </c>
      <c r="X135" s="68">
        <v>0</v>
      </c>
      <c r="Y135" s="17">
        <v>200</v>
      </c>
      <c r="Z135" s="225">
        <v>200</v>
      </c>
      <c r="AA135" s="68">
        <v>0</v>
      </c>
      <c r="AB135" s="68">
        <v>200</v>
      </c>
      <c r="AC135" s="225">
        <v>200</v>
      </c>
      <c r="AD135" s="68">
        <v>-1606.19</v>
      </c>
      <c r="AE135" s="17">
        <v>-1406.19</v>
      </c>
      <c r="AF135" s="225">
        <v>200</v>
      </c>
      <c r="AG135" s="68">
        <v>-86</v>
      </c>
      <c r="AH135" s="17"/>
      <c r="AI135" s="225">
        <v>200</v>
      </c>
      <c r="AJ135" s="68">
        <v>0</v>
      </c>
      <c r="AK135" s="17">
        <v>200</v>
      </c>
      <c r="AL135" s="225">
        <v>200</v>
      </c>
      <c r="AM135" s="68">
        <v>0</v>
      </c>
      <c r="AN135" s="17">
        <v>200</v>
      </c>
      <c r="AO135" s="225">
        <v>200</v>
      </c>
      <c r="AP135" s="68">
        <v>0</v>
      </c>
      <c r="AQ135" s="17">
        <v>200</v>
      </c>
      <c r="AR135" s="68">
        <v>200</v>
      </c>
      <c r="AS135" s="68">
        <v>0</v>
      </c>
      <c r="AT135" s="17">
        <v>200</v>
      </c>
    </row>
    <row r="136" spans="4:46" ht="13.5" outlineLevel="2" thickBot="1">
      <c r="D136" s="30" t="s">
        <v>27</v>
      </c>
      <c r="E136" s="225">
        <f>K136+N136+Q136+T136+W136+Z136+AC136+AF136+AI136+AL136+AO136+AR136</f>
        <v>0</v>
      </c>
      <c r="F136" s="68">
        <f>L136+O136+R136+U136+X136+AA136+AD136+AG136+AJ136+AM136+AP136+AS136</f>
        <v>0</v>
      </c>
      <c r="G136" s="17"/>
      <c r="H136" s="71">
        <f t="shared" si="41"/>
        <v>0</v>
      </c>
      <c r="I136" s="48"/>
      <c r="J136" s="88" t="s">
        <v>27</v>
      </c>
      <c r="K136" s="226">
        <v>0</v>
      </c>
      <c r="L136" s="227">
        <v>0</v>
      </c>
      <c r="M136" s="17">
        <v>0</v>
      </c>
      <c r="N136" s="226">
        <v>0</v>
      </c>
      <c r="O136" s="227">
        <v>0</v>
      </c>
      <c r="P136" s="228">
        <v>0</v>
      </c>
      <c r="Q136" s="226">
        <v>0</v>
      </c>
      <c r="R136" s="227">
        <v>0</v>
      </c>
      <c r="S136" s="228">
        <v>0</v>
      </c>
      <c r="T136" s="226">
        <v>0</v>
      </c>
      <c r="U136" s="227">
        <v>0</v>
      </c>
      <c r="V136" s="228">
        <v>0</v>
      </c>
      <c r="W136" s="226">
        <v>0</v>
      </c>
      <c r="X136" s="227">
        <v>0</v>
      </c>
      <c r="Y136" s="228">
        <v>0</v>
      </c>
      <c r="Z136" s="226">
        <v>0</v>
      </c>
      <c r="AA136" s="227">
        <v>0</v>
      </c>
      <c r="AB136" s="227">
        <v>0</v>
      </c>
      <c r="AC136" s="226">
        <v>0</v>
      </c>
      <c r="AD136" s="227">
        <v>0</v>
      </c>
      <c r="AE136" s="227">
        <v>0</v>
      </c>
      <c r="AF136" s="225">
        <v>0</v>
      </c>
      <c r="AG136" s="68">
        <v>0</v>
      </c>
      <c r="AH136" s="17">
        <v>0</v>
      </c>
      <c r="AI136" s="225">
        <v>0</v>
      </c>
      <c r="AJ136" s="68">
        <v>0</v>
      </c>
      <c r="AK136" s="17">
        <v>0</v>
      </c>
      <c r="AL136" s="225">
        <v>0</v>
      </c>
      <c r="AM136" s="68">
        <v>0</v>
      </c>
      <c r="AN136" s="17">
        <v>0</v>
      </c>
      <c r="AO136" s="225">
        <v>0</v>
      </c>
      <c r="AP136" s="68">
        <v>0</v>
      </c>
      <c r="AQ136" s="17">
        <v>0</v>
      </c>
      <c r="AR136" s="68">
        <v>0</v>
      </c>
      <c r="AS136" s="68">
        <v>0</v>
      </c>
      <c r="AT136" s="17">
        <v>0</v>
      </c>
    </row>
    <row r="137" spans="4:46" ht="13.5" outlineLevel="2" thickBot="1">
      <c r="D137" s="75" t="s">
        <v>29</v>
      </c>
      <c r="E137" s="268">
        <f>SUM(E117:E136)</f>
        <v>88396.4</v>
      </c>
      <c r="F137" s="269">
        <f>SUM(F117:F136)</f>
        <v>-124798.57</v>
      </c>
      <c r="G137" s="270">
        <f>SUM(G117:G136)</f>
        <v>-36402.17</v>
      </c>
      <c r="J137" s="75" t="s">
        <v>29</v>
      </c>
      <c r="K137" s="226">
        <f t="shared" ref="K137:AT137" si="42">SUM(K117:K136)</f>
        <v>7070</v>
      </c>
      <c r="L137" s="227">
        <f t="shared" si="42"/>
        <v>-8015.18</v>
      </c>
      <c r="M137" s="228">
        <f t="shared" si="42"/>
        <v>-945.17999999999984</v>
      </c>
      <c r="N137" s="226">
        <f t="shared" si="42"/>
        <v>7216.2</v>
      </c>
      <c r="O137" s="227">
        <f t="shared" si="42"/>
        <v>-10784</v>
      </c>
      <c r="P137" s="228">
        <f t="shared" si="42"/>
        <v>-3567.8</v>
      </c>
      <c r="Q137" s="227">
        <f t="shared" si="42"/>
        <v>7216.2</v>
      </c>
      <c r="R137" s="227">
        <f t="shared" si="42"/>
        <v>-12315.64</v>
      </c>
      <c r="S137" s="228">
        <f t="shared" si="42"/>
        <v>-5099.4399999999996</v>
      </c>
      <c r="T137" s="226">
        <f t="shared" si="42"/>
        <v>6690</v>
      </c>
      <c r="U137" s="227">
        <f t="shared" si="42"/>
        <v>-11642.14</v>
      </c>
      <c r="V137" s="228">
        <f t="shared" si="42"/>
        <v>-4952.1399999999994</v>
      </c>
      <c r="W137" s="226">
        <f t="shared" si="42"/>
        <v>7040</v>
      </c>
      <c r="X137" s="227">
        <f t="shared" si="42"/>
        <v>-9259.6200000000008</v>
      </c>
      <c r="Y137" s="228">
        <f t="shared" si="42"/>
        <v>-2219.62</v>
      </c>
      <c r="Z137" s="226">
        <f t="shared" si="42"/>
        <v>7040</v>
      </c>
      <c r="AA137" s="227">
        <f t="shared" si="42"/>
        <v>-9162.24</v>
      </c>
      <c r="AB137" s="228">
        <f t="shared" si="42"/>
        <v>-2122.2400000000002</v>
      </c>
      <c r="AC137" s="226">
        <f t="shared" si="42"/>
        <v>11690</v>
      </c>
      <c r="AD137" s="227">
        <f t="shared" si="42"/>
        <v>-12054.18</v>
      </c>
      <c r="AE137" s="227">
        <f t="shared" si="42"/>
        <v>-364.18000000000006</v>
      </c>
      <c r="AF137" s="229">
        <f t="shared" si="42"/>
        <v>7239.2</v>
      </c>
      <c r="AG137" s="230">
        <f t="shared" si="42"/>
        <v>-10747.34</v>
      </c>
      <c r="AH137" s="231">
        <f t="shared" si="42"/>
        <v>-3622.14</v>
      </c>
      <c r="AI137" s="232">
        <f t="shared" si="42"/>
        <v>6796.2</v>
      </c>
      <c r="AJ137" s="233">
        <f t="shared" si="42"/>
        <v>-6990.62</v>
      </c>
      <c r="AK137" s="234">
        <f t="shared" si="42"/>
        <v>-194.4199999999999</v>
      </c>
      <c r="AL137" s="232">
        <f t="shared" si="42"/>
        <v>6696.2</v>
      </c>
      <c r="AM137" s="233">
        <f t="shared" si="42"/>
        <v>-12946.39</v>
      </c>
      <c r="AN137" s="234">
        <f t="shared" si="42"/>
        <v>-6250.19</v>
      </c>
      <c r="AO137" s="232">
        <f t="shared" si="42"/>
        <v>6396.2</v>
      </c>
      <c r="AP137" s="233">
        <f t="shared" si="42"/>
        <v>-10659.03</v>
      </c>
      <c r="AQ137" s="234">
        <f t="shared" si="42"/>
        <v>-691.99</v>
      </c>
      <c r="AR137" s="232">
        <f t="shared" si="42"/>
        <v>6596.2</v>
      </c>
      <c r="AS137" s="233">
        <f t="shared" si="42"/>
        <v>-10222.19</v>
      </c>
      <c r="AT137" s="234">
        <f t="shared" si="42"/>
        <v>6596.2</v>
      </c>
    </row>
    <row r="138" spans="4:46" ht="14.1" customHeight="1" outlineLevel="2" thickBot="1">
      <c r="E138" s="705">
        <v>2021</v>
      </c>
      <c r="F138" s="706"/>
      <c r="G138" s="707"/>
      <c r="J138" s="58">
        <f>E138</f>
        <v>2021</v>
      </c>
      <c r="K138" s="710">
        <v>44197</v>
      </c>
      <c r="L138" s="711"/>
      <c r="M138" s="712"/>
      <c r="N138" s="710">
        <v>44228</v>
      </c>
      <c r="O138" s="711"/>
      <c r="P138" s="712"/>
      <c r="Q138" s="710">
        <v>44256</v>
      </c>
      <c r="R138" s="711"/>
      <c r="S138" s="712"/>
      <c r="T138" s="710">
        <v>44287</v>
      </c>
      <c r="U138" s="711"/>
      <c r="V138" s="712"/>
      <c r="W138" s="710">
        <v>44317</v>
      </c>
      <c r="X138" s="711"/>
      <c r="Y138" s="712"/>
      <c r="Z138" s="710">
        <v>44348</v>
      </c>
      <c r="AA138" s="711"/>
      <c r="AB138" s="712"/>
      <c r="AC138" s="710">
        <v>44378</v>
      </c>
      <c r="AD138" s="711"/>
      <c r="AE138" s="712"/>
      <c r="AF138" s="710">
        <v>44409</v>
      </c>
      <c r="AG138" s="711"/>
      <c r="AH138" s="712"/>
      <c r="AI138" s="710">
        <v>44440</v>
      </c>
      <c r="AJ138" s="711"/>
      <c r="AK138" s="712"/>
      <c r="AL138" s="710">
        <v>44470</v>
      </c>
      <c r="AM138" s="711"/>
      <c r="AN138" s="712"/>
      <c r="AO138" s="710">
        <v>44501</v>
      </c>
      <c r="AP138" s="711"/>
      <c r="AQ138" s="712"/>
      <c r="AR138" s="710">
        <v>44531</v>
      </c>
      <c r="AS138" s="711"/>
      <c r="AT138" s="712"/>
    </row>
    <row r="139" spans="4:46" outlineLevel="2">
      <c r="D139" s="106" t="s">
        <v>7</v>
      </c>
      <c r="E139" s="60" t="s">
        <v>60</v>
      </c>
      <c r="F139" s="61" t="s">
        <v>61</v>
      </c>
      <c r="G139" s="62" t="s">
        <v>62</v>
      </c>
      <c r="H139" s="63" t="s">
        <v>73</v>
      </c>
      <c r="J139" s="106" t="s">
        <v>7</v>
      </c>
      <c r="K139" s="60" t="s">
        <v>60</v>
      </c>
      <c r="L139" s="61" t="s">
        <v>61</v>
      </c>
      <c r="M139" s="62" t="s">
        <v>62</v>
      </c>
      <c r="N139" s="60" t="s">
        <v>60</v>
      </c>
      <c r="O139" s="61" t="s">
        <v>61</v>
      </c>
      <c r="P139" s="61" t="s">
        <v>62</v>
      </c>
      <c r="Q139" s="60" t="s">
        <v>60</v>
      </c>
      <c r="R139" s="61" t="s">
        <v>61</v>
      </c>
      <c r="S139" s="62" t="s">
        <v>62</v>
      </c>
      <c r="T139" s="60" t="s">
        <v>60</v>
      </c>
      <c r="U139" s="61" t="s">
        <v>61</v>
      </c>
      <c r="V139" s="62" t="s">
        <v>62</v>
      </c>
      <c r="W139" s="60" t="s">
        <v>60</v>
      </c>
      <c r="X139" s="61" t="s">
        <v>61</v>
      </c>
      <c r="Y139" s="62" t="s">
        <v>62</v>
      </c>
      <c r="Z139" s="60" t="s">
        <v>60</v>
      </c>
      <c r="AA139" s="61" t="s">
        <v>61</v>
      </c>
      <c r="AB139" s="62" t="s">
        <v>62</v>
      </c>
      <c r="AC139" s="60" t="s">
        <v>60</v>
      </c>
      <c r="AD139" s="61" t="s">
        <v>61</v>
      </c>
      <c r="AE139" s="62" t="s">
        <v>62</v>
      </c>
      <c r="AF139" s="60" t="s">
        <v>60</v>
      </c>
      <c r="AG139" s="61" t="s">
        <v>61</v>
      </c>
      <c r="AH139" s="62" t="s">
        <v>62</v>
      </c>
      <c r="AI139" s="60" t="s">
        <v>60</v>
      </c>
      <c r="AJ139" s="61" t="s">
        <v>61</v>
      </c>
      <c r="AK139" s="62" t="s">
        <v>62</v>
      </c>
      <c r="AL139" s="60" t="s">
        <v>60</v>
      </c>
      <c r="AM139" s="61" t="s">
        <v>61</v>
      </c>
      <c r="AN139" s="62" t="s">
        <v>62</v>
      </c>
      <c r="AO139" s="60" t="s">
        <v>60</v>
      </c>
      <c r="AP139" s="61" t="s">
        <v>61</v>
      </c>
      <c r="AQ139" s="62" t="s">
        <v>62</v>
      </c>
      <c r="AR139" s="60" t="s">
        <v>60</v>
      </c>
      <c r="AS139" s="61" t="s">
        <v>61</v>
      </c>
      <c r="AT139" s="62" t="s">
        <v>62</v>
      </c>
    </row>
    <row r="140" spans="4:46" outlineLevel="2">
      <c r="D140" s="79" t="s">
        <v>8</v>
      </c>
      <c r="E140" s="267">
        <f t="shared" ref="E140:E159" si="43">K140+N140+Q140+T140+W140+Z140+AC140+AF140+AI140+AL140+AO140+AR140</f>
        <v>3330</v>
      </c>
      <c r="F140" s="65">
        <f t="shared" ref="F140:F159" si="44">L140+O140+R140+U140+X140+AA140+AD140+AG140+AJ140+AM140+AP140+AS140</f>
        <v>-3292.7799999999997</v>
      </c>
      <c r="G140" s="77">
        <f>E140+F140</f>
        <v>37.220000000000255</v>
      </c>
      <c r="H140" s="66">
        <f>F140/$F$160</f>
        <v>4.9309597055422864E-2</v>
      </c>
      <c r="I140" s="107"/>
      <c r="J140" s="64" t="s">
        <v>8</v>
      </c>
      <c r="K140" s="235">
        <v>250</v>
      </c>
      <c r="L140" s="236">
        <v>-287.01</v>
      </c>
      <c r="M140" s="237">
        <v>-37.009999999999991</v>
      </c>
      <c r="N140" s="235">
        <v>250</v>
      </c>
      <c r="O140" s="236">
        <v>-257</v>
      </c>
      <c r="P140" s="237">
        <v>-7</v>
      </c>
      <c r="Q140" s="235">
        <v>250</v>
      </c>
      <c r="R140" s="236">
        <v>-358</v>
      </c>
      <c r="S140" s="237">
        <v>-108</v>
      </c>
      <c r="T140" s="235">
        <v>300</v>
      </c>
      <c r="U140" s="236">
        <v>-257.27</v>
      </c>
      <c r="V140" s="237">
        <v>42.730000000000018</v>
      </c>
      <c r="W140" s="235">
        <v>250</v>
      </c>
      <c r="X140" s="236">
        <v>-271</v>
      </c>
      <c r="Y140" s="237">
        <v>-21</v>
      </c>
      <c r="Z140" s="235">
        <v>250</v>
      </c>
      <c r="AA140" s="236">
        <v>-226</v>
      </c>
      <c r="AB140" s="236">
        <v>24</v>
      </c>
      <c r="AC140" s="235">
        <v>275</v>
      </c>
      <c r="AD140" s="236">
        <v>-300.3</v>
      </c>
      <c r="AE140" s="237">
        <v>-25.300000000000011</v>
      </c>
      <c r="AF140" s="235">
        <v>300</v>
      </c>
      <c r="AG140" s="236">
        <v>-314</v>
      </c>
      <c r="AH140" s="237">
        <v>-14</v>
      </c>
      <c r="AI140" s="235">
        <v>300</v>
      </c>
      <c r="AJ140" s="236">
        <v>-181</v>
      </c>
      <c r="AK140" s="237">
        <v>119</v>
      </c>
      <c r="AL140" s="235">
        <v>300</v>
      </c>
      <c r="AM140" s="236">
        <v>-305</v>
      </c>
      <c r="AN140" s="237">
        <v>-5</v>
      </c>
      <c r="AO140" s="235">
        <v>300</v>
      </c>
      <c r="AP140" s="236">
        <v>-247.2</v>
      </c>
      <c r="AQ140" s="237">
        <v>52.800000000000011</v>
      </c>
      <c r="AR140" s="238">
        <v>305</v>
      </c>
      <c r="AS140" s="238">
        <v>-289</v>
      </c>
      <c r="AT140" s="239">
        <v>16</v>
      </c>
    </row>
    <row r="141" spans="4:46" outlineLevel="2">
      <c r="D141" s="18" t="s">
        <v>9</v>
      </c>
      <c r="E141" s="225">
        <f t="shared" si="43"/>
        <v>2275</v>
      </c>
      <c r="F141" s="68">
        <f t="shared" si="44"/>
        <v>-1693.05</v>
      </c>
      <c r="G141" s="17">
        <f t="shared" ref="G141:G158" si="45">E141+F141</f>
        <v>581.95000000000005</v>
      </c>
      <c r="H141" s="69">
        <f t="shared" ref="H141:H159" si="46">F141/$F$160</f>
        <v>2.5353535096387759E-2</v>
      </c>
      <c r="J141" s="67" t="s">
        <v>9</v>
      </c>
      <c r="K141" s="240">
        <v>130</v>
      </c>
      <c r="L141" s="241">
        <v>-86.59</v>
      </c>
      <c r="M141" s="242">
        <v>43.41</v>
      </c>
      <c r="N141" s="240">
        <v>195</v>
      </c>
      <c r="O141" s="241">
        <v>-198</v>
      </c>
      <c r="P141" s="242">
        <v>-3</v>
      </c>
      <c r="Q141" s="240">
        <v>195</v>
      </c>
      <c r="R141" s="241">
        <v>-195</v>
      </c>
      <c r="S141" s="242">
        <v>0</v>
      </c>
      <c r="T141" s="240">
        <v>195</v>
      </c>
      <c r="U141" s="241">
        <v>-197</v>
      </c>
      <c r="V141" s="242">
        <v>-2</v>
      </c>
      <c r="W141" s="240">
        <v>195</v>
      </c>
      <c r="X141" s="241">
        <v>-195</v>
      </c>
      <c r="Y141" s="242">
        <v>0</v>
      </c>
      <c r="Z141" s="240">
        <v>195</v>
      </c>
      <c r="AA141" s="241">
        <v>-195</v>
      </c>
      <c r="AB141" s="241">
        <v>0</v>
      </c>
      <c r="AC141" s="240">
        <v>195</v>
      </c>
      <c r="AD141" s="241">
        <v>0</v>
      </c>
      <c r="AE141" s="242">
        <v>195</v>
      </c>
      <c r="AF141" s="240">
        <v>195</v>
      </c>
      <c r="AG141" s="241">
        <v>-140</v>
      </c>
      <c r="AH141" s="242">
        <v>55</v>
      </c>
      <c r="AI141" s="240">
        <v>195</v>
      </c>
      <c r="AJ141" s="241">
        <v>-137.37</v>
      </c>
      <c r="AK141" s="242">
        <v>57.629999999999995</v>
      </c>
      <c r="AL141" s="240">
        <v>195</v>
      </c>
      <c r="AM141" s="241">
        <v>0</v>
      </c>
      <c r="AN141" s="242">
        <v>195</v>
      </c>
      <c r="AO141" s="240">
        <v>195</v>
      </c>
      <c r="AP141" s="241">
        <v>-186</v>
      </c>
      <c r="AQ141" s="242">
        <v>9</v>
      </c>
      <c r="AR141" s="243">
        <v>195</v>
      </c>
      <c r="AS141" s="243">
        <v>-163.09</v>
      </c>
      <c r="AT141" s="244">
        <v>31.909999999999997</v>
      </c>
    </row>
    <row r="142" spans="4:46" outlineLevel="2">
      <c r="D142" s="18" t="s">
        <v>10</v>
      </c>
      <c r="E142" s="225">
        <f t="shared" si="43"/>
        <v>160</v>
      </c>
      <c r="F142" s="68">
        <f t="shared" si="44"/>
        <v>0</v>
      </c>
      <c r="G142" s="17">
        <f t="shared" si="45"/>
        <v>160</v>
      </c>
      <c r="H142" s="69">
        <f t="shared" si="46"/>
        <v>0</v>
      </c>
      <c r="J142" s="67" t="s">
        <v>10</v>
      </c>
      <c r="K142" s="240">
        <v>20</v>
      </c>
      <c r="L142" s="241">
        <v>0</v>
      </c>
      <c r="M142" s="242">
        <v>20</v>
      </c>
      <c r="N142" s="240">
        <v>20</v>
      </c>
      <c r="O142" s="241">
        <v>0</v>
      </c>
      <c r="P142" s="242">
        <v>20</v>
      </c>
      <c r="Q142" s="240">
        <v>20</v>
      </c>
      <c r="R142" s="241">
        <v>0</v>
      </c>
      <c r="S142" s="242">
        <v>20</v>
      </c>
      <c r="T142" s="240">
        <v>20</v>
      </c>
      <c r="U142" s="241">
        <v>0</v>
      </c>
      <c r="V142" s="242">
        <v>20</v>
      </c>
      <c r="W142" s="240">
        <v>20</v>
      </c>
      <c r="X142" s="241">
        <v>0</v>
      </c>
      <c r="Y142" s="242">
        <v>20</v>
      </c>
      <c r="Z142" s="240">
        <v>20</v>
      </c>
      <c r="AA142" s="241">
        <v>0</v>
      </c>
      <c r="AB142" s="241">
        <v>20</v>
      </c>
      <c r="AC142" s="240">
        <v>20</v>
      </c>
      <c r="AD142" s="241">
        <v>0</v>
      </c>
      <c r="AE142" s="242">
        <v>20</v>
      </c>
      <c r="AF142" s="240">
        <v>20</v>
      </c>
      <c r="AG142" s="241">
        <v>0</v>
      </c>
      <c r="AH142" s="242">
        <v>20</v>
      </c>
      <c r="AI142" s="240">
        <v>0</v>
      </c>
      <c r="AJ142" s="241">
        <v>0</v>
      </c>
      <c r="AK142" s="242">
        <v>0</v>
      </c>
      <c r="AL142" s="240">
        <v>0</v>
      </c>
      <c r="AM142" s="241">
        <v>0</v>
      </c>
      <c r="AN142" s="242">
        <v>0</v>
      </c>
      <c r="AO142" s="240">
        <v>0</v>
      </c>
      <c r="AP142" s="241">
        <v>0</v>
      </c>
      <c r="AQ142" s="242">
        <v>0</v>
      </c>
      <c r="AR142" s="243">
        <v>0</v>
      </c>
      <c r="AS142" s="243">
        <v>0</v>
      </c>
      <c r="AT142" s="244">
        <v>0</v>
      </c>
    </row>
    <row r="143" spans="4:46" outlineLevel="2">
      <c r="D143" s="18" t="s">
        <v>11</v>
      </c>
      <c r="E143" s="225">
        <f t="shared" si="43"/>
        <v>240</v>
      </c>
      <c r="F143" s="68">
        <f t="shared" si="44"/>
        <v>-709</v>
      </c>
      <c r="G143" s="17">
        <f t="shared" si="45"/>
        <v>-469</v>
      </c>
      <c r="H143" s="69">
        <f t="shared" si="46"/>
        <v>1.0617321628622263E-2</v>
      </c>
      <c r="J143" s="67" t="s">
        <v>11</v>
      </c>
      <c r="K143" s="240">
        <v>20</v>
      </c>
      <c r="L143" s="241">
        <v>0</v>
      </c>
      <c r="M143" s="242">
        <v>20</v>
      </c>
      <c r="N143" s="240">
        <v>20</v>
      </c>
      <c r="O143" s="241">
        <v>0</v>
      </c>
      <c r="P143" s="242">
        <v>20</v>
      </c>
      <c r="Q143" s="240">
        <v>20</v>
      </c>
      <c r="R143" s="241">
        <v>0</v>
      </c>
      <c r="S143" s="242">
        <v>20</v>
      </c>
      <c r="T143" s="240">
        <v>20</v>
      </c>
      <c r="U143" s="241">
        <v>0</v>
      </c>
      <c r="V143" s="242">
        <v>20</v>
      </c>
      <c r="W143" s="240">
        <v>20</v>
      </c>
      <c r="X143" s="241">
        <v>0</v>
      </c>
      <c r="Y143" s="242">
        <v>20</v>
      </c>
      <c r="Z143" s="240">
        <v>20</v>
      </c>
      <c r="AA143" s="241">
        <v>0</v>
      </c>
      <c r="AB143" s="241">
        <v>20</v>
      </c>
      <c r="AC143" s="240">
        <v>20</v>
      </c>
      <c r="AD143" s="241">
        <v>0</v>
      </c>
      <c r="AE143" s="242">
        <v>20</v>
      </c>
      <c r="AF143" s="240">
        <v>20</v>
      </c>
      <c r="AG143" s="241">
        <v>-493</v>
      </c>
      <c r="AH143" s="242">
        <v>-473</v>
      </c>
      <c r="AI143" s="240">
        <v>20</v>
      </c>
      <c r="AJ143" s="241">
        <v>0</v>
      </c>
      <c r="AK143" s="242">
        <v>20</v>
      </c>
      <c r="AL143" s="240">
        <v>20</v>
      </c>
      <c r="AM143" s="241">
        <v>-128</v>
      </c>
      <c r="AN143" s="242">
        <v>-108</v>
      </c>
      <c r="AO143" s="240">
        <v>20</v>
      </c>
      <c r="AP143" s="241">
        <v>-88</v>
      </c>
      <c r="AQ143" s="242">
        <v>-68</v>
      </c>
      <c r="AR143" s="243">
        <v>20</v>
      </c>
      <c r="AS143" s="243">
        <v>0</v>
      </c>
      <c r="AT143" s="244">
        <v>20</v>
      </c>
    </row>
    <row r="144" spans="4:46" outlineLevel="2">
      <c r="D144" s="18" t="s">
        <v>12</v>
      </c>
      <c r="E144" s="225">
        <f t="shared" si="43"/>
        <v>650</v>
      </c>
      <c r="F144" s="68">
        <f t="shared" si="44"/>
        <v>-277.75</v>
      </c>
      <c r="G144" s="17">
        <f t="shared" si="45"/>
        <v>372.25</v>
      </c>
      <c r="H144" s="69">
        <f t="shared" si="46"/>
        <v>4.1593245167134462E-3</v>
      </c>
      <c r="J144" s="67" t="s">
        <v>12</v>
      </c>
      <c r="K144" s="240">
        <v>0</v>
      </c>
      <c r="L144" s="241">
        <v>0</v>
      </c>
      <c r="M144" s="242">
        <v>0</v>
      </c>
      <c r="N144" s="240">
        <v>0</v>
      </c>
      <c r="O144" s="241">
        <v>0</v>
      </c>
      <c r="P144" s="242">
        <v>0</v>
      </c>
      <c r="Q144" s="240">
        <v>0</v>
      </c>
      <c r="R144" s="241">
        <v>0</v>
      </c>
      <c r="S144" s="242">
        <v>0</v>
      </c>
      <c r="T144" s="240">
        <v>0</v>
      </c>
      <c r="U144" s="241">
        <v>0</v>
      </c>
      <c r="V144" s="242">
        <v>0</v>
      </c>
      <c r="W144" s="240">
        <v>0</v>
      </c>
      <c r="X144" s="241">
        <v>0</v>
      </c>
      <c r="Y144" s="242">
        <v>0</v>
      </c>
      <c r="Z144" s="240">
        <v>0</v>
      </c>
      <c r="AA144" s="241">
        <v>0</v>
      </c>
      <c r="AB144" s="241">
        <v>0</v>
      </c>
      <c r="AC144" s="240">
        <v>0</v>
      </c>
      <c r="AD144" s="241">
        <v>0</v>
      </c>
      <c r="AE144" s="242">
        <v>0</v>
      </c>
      <c r="AF144" s="240">
        <v>0</v>
      </c>
      <c r="AG144" s="241">
        <v>0</v>
      </c>
      <c r="AH144" s="242">
        <v>0</v>
      </c>
      <c r="AI144" s="240">
        <v>50</v>
      </c>
      <c r="AJ144" s="241">
        <v>0</v>
      </c>
      <c r="AK144" s="242">
        <v>50</v>
      </c>
      <c r="AL144" s="240">
        <v>50</v>
      </c>
      <c r="AM144" s="241">
        <v>0</v>
      </c>
      <c r="AN144" s="242">
        <v>50</v>
      </c>
      <c r="AO144" s="240">
        <v>50</v>
      </c>
      <c r="AP144" s="241">
        <v>0</v>
      </c>
      <c r="AQ144" s="242">
        <v>50</v>
      </c>
      <c r="AR144" s="243">
        <v>500</v>
      </c>
      <c r="AS144" s="243">
        <v>-277.75</v>
      </c>
      <c r="AT144" s="244">
        <v>222.25</v>
      </c>
    </row>
    <row r="145" spans="4:46" outlineLevel="2">
      <c r="D145" s="18" t="s">
        <v>13</v>
      </c>
      <c r="E145" s="225">
        <f t="shared" si="43"/>
        <v>4750</v>
      </c>
      <c r="F145" s="68">
        <f t="shared" si="44"/>
        <v>-6448.9900000000007</v>
      </c>
      <c r="G145" s="17">
        <f t="shared" si="45"/>
        <v>-1698.9900000000007</v>
      </c>
      <c r="H145" s="69">
        <f t="shared" si="46"/>
        <v>9.6574049379081373E-2</v>
      </c>
      <c r="J145" s="67" t="s">
        <v>13</v>
      </c>
      <c r="K145" s="240">
        <v>350</v>
      </c>
      <c r="L145" s="241">
        <v>-293</v>
      </c>
      <c r="M145" s="242">
        <v>57</v>
      </c>
      <c r="N145" s="240">
        <v>400</v>
      </c>
      <c r="O145" s="241">
        <v>-93</v>
      </c>
      <c r="P145" s="242">
        <v>307</v>
      </c>
      <c r="Q145" s="240">
        <v>400</v>
      </c>
      <c r="R145" s="241">
        <v>-118</v>
      </c>
      <c r="S145" s="242">
        <v>282</v>
      </c>
      <c r="T145" s="240">
        <v>400</v>
      </c>
      <c r="U145" s="241">
        <v>-367.40999999999997</v>
      </c>
      <c r="V145" s="242">
        <v>32.590000000000032</v>
      </c>
      <c r="W145" s="240">
        <v>400</v>
      </c>
      <c r="X145" s="241">
        <v>0</v>
      </c>
      <c r="Y145" s="242">
        <v>400</v>
      </c>
      <c r="Z145" s="240">
        <v>400</v>
      </c>
      <c r="AA145" s="241">
        <v>-258</v>
      </c>
      <c r="AB145" s="241">
        <v>142</v>
      </c>
      <c r="AC145" s="240">
        <v>400</v>
      </c>
      <c r="AD145" s="241">
        <v>-292</v>
      </c>
      <c r="AE145" s="242">
        <v>108</v>
      </c>
      <c r="AF145" s="240">
        <v>400</v>
      </c>
      <c r="AG145" s="241">
        <v>-1309.5700000000002</v>
      </c>
      <c r="AH145" s="242">
        <v>-909.57000000000016</v>
      </c>
      <c r="AI145" s="240">
        <v>400</v>
      </c>
      <c r="AJ145" s="241">
        <v>-1020.9</v>
      </c>
      <c r="AK145" s="242">
        <v>-620.9</v>
      </c>
      <c r="AL145" s="240">
        <v>400</v>
      </c>
      <c r="AM145" s="241">
        <v>-1091.17</v>
      </c>
      <c r="AN145" s="242">
        <v>-691.17000000000007</v>
      </c>
      <c r="AO145" s="240">
        <v>400</v>
      </c>
      <c r="AP145" s="241">
        <v>-1098.0900000000001</v>
      </c>
      <c r="AQ145" s="242">
        <v>-698.09000000000015</v>
      </c>
      <c r="AR145" s="243">
        <v>400</v>
      </c>
      <c r="AS145" s="243">
        <v>-507.85</v>
      </c>
      <c r="AT145" s="244">
        <v>-107.85000000000002</v>
      </c>
    </row>
    <row r="146" spans="4:46" outlineLevel="2">
      <c r="D146" s="47" t="s">
        <v>14</v>
      </c>
      <c r="E146" s="225">
        <f t="shared" si="43"/>
        <v>1200</v>
      </c>
      <c r="F146" s="68">
        <f t="shared" si="44"/>
        <v>-2035.44</v>
      </c>
      <c r="G146" s="17">
        <f t="shared" si="45"/>
        <v>-835.44</v>
      </c>
      <c r="H146" s="69">
        <f t="shared" si="46"/>
        <v>3.048084786426361E-2</v>
      </c>
      <c r="J146" s="70" t="s">
        <v>14</v>
      </c>
      <c r="K146" s="240">
        <v>100</v>
      </c>
      <c r="L146" s="241">
        <v>-206.44</v>
      </c>
      <c r="M146" s="242">
        <v>-106.44</v>
      </c>
      <c r="N146" s="240">
        <v>100</v>
      </c>
      <c r="O146" s="241">
        <v>0</v>
      </c>
      <c r="P146" s="242">
        <v>100</v>
      </c>
      <c r="Q146" s="240">
        <v>100</v>
      </c>
      <c r="R146" s="241">
        <v>-344</v>
      </c>
      <c r="S146" s="242">
        <v>-244</v>
      </c>
      <c r="T146" s="240">
        <v>100</v>
      </c>
      <c r="U146" s="241">
        <v>-21</v>
      </c>
      <c r="V146" s="242">
        <v>79</v>
      </c>
      <c r="W146" s="240">
        <v>100</v>
      </c>
      <c r="X146" s="241">
        <v>-178</v>
      </c>
      <c r="Y146" s="242">
        <v>-78</v>
      </c>
      <c r="Z146" s="240">
        <v>100</v>
      </c>
      <c r="AA146" s="241">
        <v>-231</v>
      </c>
      <c r="AB146" s="241">
        <v>-131</v>
      </c>
      <c r="AC146" s="240">
        <v>100</v>
      </c>
      <c r="AD146" s="241">
        <v>-125</v>
      </c>
      <c r="AE146" s="242">
        <v>-25</v>
      </c>
      <c r="AF146" s="240">
        <v>100</v>
      </c>
      <c r="AG146" s="241">
        <v>-251</v>
      </c>
      <c r="AH146" s="242">
        <v>-151</v>
      </c>
      <c r="AI146" s="240">
        <v>100</v>
      </c>
      <c r="AJ146" s="241">
        <v>-110</v>
      </c>
      <c r="AK146" s="242">
        <v>-10</v>
      </c>
      <c r="AL146" s="240">
        <v>100</v>
      </c>
      <c r="AM146" s="241">
        <v>0</v>
      </c>
      <c r="AN146" s="242">
        <v>100</v>
      </c>
      <c r="AO146" s="240">
        <v>100</v>
      </c>
      <c r="AP146" s="241">
        <v>-481</v>
      </c>
      <c r="AQ146" s="242">
        <v>-381</v>
      </c>
      <c r="AR146" s="243">
        <v>100</v>
      </c>
      <c r="AS146" s="243">
        <v>-88</v>
      </c>
      <c r="AT146" s="244">
        <v>12</v>
      </c>
    </row>
    <row r="147" spans="4:46" outlineLevel="2">
      <c r="D147" s="18" t="s">
        <v>15</v>
      </c>
      <c r="E147" s="225">
        <f t="shared" si="43"/>
        <v>2700</v>
      </c>
      <c r="F147" s="68">
        <f t="shared" si="44"/>
        <v>-3552.42</v>
      </c>
      <c r="G147" s="17">
        <f t="shared" si="45"/>
        <v>-852.42000000000007</v>
      </c>
      <c r="H147" s="69">
        <f t="shared" si="46"/>
        <v>5.3197723131100563E-2</v>
      </c>
      <c r="J147" s="67" t="s">
        <v>15</v>
      </c>
      <c r="K147" s="240">
        <v>200</v>
      </c>
      <c r="L147" s="241">
        <v>-99</v>
      </c>
      <c r="M147" s="242">
        <v>101</v>
      </c>
      <c r="N147" s="240">
        <v>200</v>
      </c>
      <c r="O147" s="241">
        <v>-294.13</v>
      </c>
      <c r="P147" s="242">
        <v>-94.13</v>
      </c>
      <c r="Q147" s="240">
        <v>200</v>
      </c>
      <c r="R147" s="241">
        <v>-228</v>
      </c>
      <c r="S147" s="242">
        <v>-28</v>
      </c>
      <c r="T147" s="240">
        <v>200</v>
      </c>
      <c r="U147" s="241">
        <v>-26</v>
      </c>
      <c r="V147" s="242">
        <v>174</v>
      </c>
      <c r="W147" s="240">
        <v>200</v>
      </c>
      <c r="X147" s="241">
        <v>0</v>
      </c>
      <c r="Y147" s="242">
        <v>200</v>
      </c>
      <c r="Z147" s="240">
        <v>200</v>
      </c>
      <c r="AA147" s="241">
        <v>-305</v>
      </c>
      <c r="AB147" s="241">
        <v>-105</v>
      </c>
      <c r="AC147" s="240">
        <v>200</v>
      </c>
      <c r="AD147" s="241">
        <v>0</v>
      </c>
      <c r="AE147" s="242">
        <v>200</v>
      </c>
      <c r="AF147" s="240">
        <v>200</v>
      </c>
      <c r="AG147" s="241">
        <v>-259.25</v>
      </c>
      <c r="AH147" s="242">
        <v>-59.25</v>
      </c>
      <c r="AI147" s="240">
        <v>200</v>
      </c>
      <c r="AJ147" s="241">
        <v>-523.42000000000007</v>
      </c>
      <c r="AK147" s="242">
        <v>-323.42000000000007</v>
      </c>
      <c r="AL147" s="240">
        <v>200</v>
      </c>
      <c r="AM147" s="241">
        <v>-821</v>
      </c>
      <c r="AN147" s="242">
        <v>-621</v>
      </c>
      <c r="AO147" s="240">
        <v>200</v>
      </c>
      <c r="AP147" s="241">
        <v>-663.62</v>
      </c>
      <c r="AQ147" s="242">
        <v>-463.62</v>
      </c>
      <c r="AR147" s="243">
        <v>500</v>
      </c>
      <c r="AS147" s="243">
        <v>-333</v>
      </c>
      <c r="AT147" s="244">
        <v>167</v>
      </c>
    </row>
    <row r="148" spans="4:46" outlineLevel="2">
      <c r="D148" s="18" t="s">
        <v>16</v>
      </c>
      <c r="E148" s="225">
        <f t="shared" si="43"/>
        <v>1300</v>
      </c>
      <c r="F148" s="68">
        <f t="shared" si="44"/>
        <v>-2303.89</v>
      </c>
      <c r="G148" s="17">
        <f t="shared" si="45"/>
        <v>-1003.8899999999999</v>
      </c>
      <c r="H148" s="69">
        <f t="shared" si="46"/>
        <v>3.4500904269346322E-2</v>
      </c>
      <c r="J148" s="67" t="s">
        <v>16</v>
      </c>
      <c r="K148" s="240">
        <v>250</v>
      </c>
      <c r="L148" s="241">
        <v>-132</v>
      </c>
      <c r="M148" s="242">
        <v>118</v>
      </c>
      <c r="N148" s="240">
        <v>50</v>
      </c>
      <c r="O148" s="241">
        <v>0</v>
      </c>
      <c r="P148" s="242">
        <v>50</v>
      </c>
      <c r="Q148" s="240">
        <v>50</v>
      </c>
      <c r="R148" s="241">
        <v>0</v>
      </c>
      <c r="S148" s="242">
        <v>50</v>
      </c>
      <c r="T148" s="240">
        <v>200</v>
      </c>
      <c r="U148" s="241">
        <v>0</v>
      </c>
      <c r="V148" s="242">
        <v>200</v>
      </c>
      <c r="W148" s="240">
        <v>50</v>
      </c>
      <c r="X148" s="241">
        <v>0</v>
      </c>
      <c r="Y148" s="242">
        <v>50</v>
      </c>
      <c r="Z148" s="240">
        <v>50</v>
      </c>
      <c r="AA148" s="241">
        <v>-100</v>
      </c>
      <c r="AB148" s="241">
        <v>-50</v>
      </c>
      <c r="AC148" s="240">
        <v>200</v>
      </c>
      <c r="AD148" s="241">
        <v>0</v>
      </c>
      <c r="AE148" s="242">
        <v>200</v>
      </c>
      <c r="AF148" s="240">
        <v>50</v>
      </c>
      <c r="AG148" s="241">
        <v>-61</v>
      </c>
      <c r="AH148" s="242">
        <v>-11</v>
      </c>
      <c r="AI148" s="240">
        <v>50</v>
      </c>
      <c r="AJ148" s="241">
        <v>-440.79</v>
      </c>
      <c r="AK148" s="242">
        <v>-390.79</v>
      </c>
      <c r="AL148" s="240">
        <v>50</v>
      </c>
      <c r="AM148" s="241">
        <v>-705.1</v>
      </c>
      <c r="AN148" s="242">
        <v>-655.1</v>
      </c>
      <c r="AO148" s="240">
        <v>50</v>
      </c>
      <c r="AP148" s="241">
        <v>-382</v>
      </c>
      <c r="AQ148" s="242">
        <v>-332</v>
      </c>
      <c r="AR148" s="243">
        <v>250</v>
      </c>
      <c r="AS148" s="243">
        <v>-483</v>
      </c>
      <c r="AT148" s="244">
        <v>-233</v>
      </c>
    </row>
    <row r="149" spans="4:46" outlineLevel="2">
      <c r="D149" s="18" t="s">
        <v>17</v>
      </c>
      <c r="E149" s="225">
        <f t="shared" si="43"/>
        <v>3600</v>
      </c>
      <c r="F149" s="68">
        <f t="shared" si="44"/>
        <v>-5762.05</v>
      </c>
      <c r="G149" s="17">
        <f t="shared" si="45"/>
        <v>-2162.0500000000002</v>
      </c>
      <c r="H149" s="69">
        <f t="shared" si="46"/>
        <v>8.6287077701273501E-2</v>
      </c>
      <c r="J149" s="67" t="s">
        <v>17</v>
      </c>
      <c r="K149" s="240">
        <v>300</v>
      </c>
      <c r="L149" s="241">
        <v>-185.26</v>
      </c>
      <c r="M149" s="242">
        <v>114.74000000000001</v>
      </c>
      <c r="N149" s="240">
        <v>300</v>
      </c>
      <c r="O149" s="241">
        <v>-331</v>
      </c>
      <c r="P149" s="242">
        <v>-31</v>
      </c>
      <c r="Q149" s="240">
        <v>300</v>
      </c>
      <c r="R149" s="241">
        <v>-188</v>
      </c>
      <c r="S149" s="242">
        <v>112</v>
      </c>
      <c r="T149" s="240">
        <v>300</v>
      </c>
      <c r="U149" s="241">
        <v>-230</v>
      </c>
      <c r="V149" s="242">
        <v>70</v>
      </c>
      <c r="W149" s="240">
        <v>300</v>
      </c>
      <c r="X149" s="241">
        <v>-165</v>
      </c>
      <c r="Y149" s="242">
        <v>135</v>
      </c>
      <c r="Z149" s="240">
        <v>300</v>
      </c>
      <c r="AA149" s="241">
        <v>-116</v>
      </c>
      <c r="AB149" s="241">
        <v>184</v>
      </c>
      <c r="AC149" s="240">
        <v>300</v>
      </c>
      <c r="AD149" s="241">
        <v>-65</v>
      </c>
      <c r="AE149" s="242">
        <v>235</v>
      </c>
      <c r="AF149" s="240">
        <v>300</v>
      </c>
      <c r="AG149" s="241">
        <v>-429.79</v>
      </c>
      <c r="AH149" s="242">
        <v>-129.79000000000002</v>
      </c>
      <c r="AI149" s="240">
        <v>300</v>
      </c>
      <c r="AJ149" s="241">
        <v>-846.08000000000015</v>
      </c>
      <c r="AK149" s="242">
        <v>-546.08000000000015</v>
      </c>
      <c r="AL149" s="240">
        <v>300</v>
      </c>
      <c r="AM149" s="241">
        <v>-426</v>
      </c>
      <c r="AN149" s="242">
        <v>-126</v>
      </c>
      <c r="AO149" s="240">
        <v>300</v>
      </c>
      <c r="AP149" s="241">
        <v>-374.01</v>
      </c>
      <c r="AQ149" s="242">
        <v>-74.009999999999991</v>
      </c>
      <c r="AR149" s="243">
        <v>300</v>
      </c>
      <c r="AS149" s="243">
        <v>-2405.91</v>
      </c>
      <c r="AT149" s="244">
        <v>-2105.91</v>
      </c>
    </row>
    <row r="150" spans="4:46" outlineLevel="2">
      <c r="D150" s="18" t="s">
        <v>18</v>
      </c>
      <c r="E150" s="225">
        <f t="shared" si="43"/>
        <v>1200</v>
      </c>
      <c r="F150" s="68">
        <f t="shared" si="44"/>
        <v>-1449.76</v>
      </c>
      <c r="G150" s="17">
        <f t="shared" si="45"/>
        <v>-249.76</v>
      </c>
      <c r="H150" s="69">
        <f t="shared" si="46"/>
        <v>2.1710251345996349E-2</v>
      </c>
      <c r="J150" s="67" t="s">
        <v>18</v>
      </c>
      <c r="K150" s="240">
        <v>100</v>
      </c>
      <c r="L150" s="241">
        <v>0</v>
      </c>
      <c r="M150" s="242">
        <v>100</v>
      </c>
      <c r="N150" s="240">
        <v>100</v>
      </c>
      <c r="O150" s="241">
        <v>0</v>
      </c>
      <c r="P150" s="242">
        <v>100</v>
      </c>
      <c r="Q150" s="240">
        <v>100</v>
      </c>
      <c r="R150" s="241">
        <v>0</v>
      </c>
      <c r="S150" s="242">
        <v>100</v>
      </c>
      <c r="T150" s="240">
        <v>100</v>
      </c>
      <c r="U150" s="241">
        <v>-88</v>
      </c>
      <c r="V150" s="242">
        <v>12</v>
      </c>
      <c r="W150" s="240">
        <v>100</v>
      </c>
      <c r="X150" s="241">
        <v>0</v>
      </c>
      <c r="Y150" s="242">
        <v>100</v>
      </c>
      <c r="Z150" s="240">
        <v>100</v>
      </c>
      <c r="AA150" s="241">
        <v>0</v>
      </c>
      <c r="AB150" s="241">
        <v>100</v>
      </c>
      <c r="AC150" s="240">
        <v>100</v>
      </c>
      <c r="AD150" s="241">
        <v>0</v>
      </c>
      <c r="AE150" s="242">
        <v>100</v>
      </c>
      <c r="AF150" s="240">
        <v>100</v>
      </c>
      <c r="AG150" s="241">
        <v>-135</v>
      </c>
      <c r="AH150" s="242">
        <v>-35</v>
      </c>
      <c r="AI150" s="240">
        <v>100</v>
      </c>
      <c r="AJ150" s="241">
        <v>-456.63</v>
      </c>
      <c r="AK150" s="242">
        <v>-356.63</v>
      </c>
      <c r="AL150" s="240">
        <v>100</v>
      </c>
      <c r="AM150" s="241">
        <v>-510.13</v>
      </c>
      <c r="AN150" s="242">
        <v>-410.13</v>
      </c>
      <c r="AO150" s="240">
        <v>100</v>
      </c>
      <c r="AP150" s="241">
        <v>-85</v>
      </c>
      <c r="AQ150" s="242">
        <v>15</v>
      </c>
      <c r="AR150" s="243">
        <v>100</v>
      </c>
      <c r="AS150" s="243">
        <v>-175</v>
      </c>
      <c r="AT150" s="244">
        <v>-75</v>
      </c>
    </row>
    <row r="151" spans="4:46" outlineLevel="2">
      <c r="D151" s="18" t="s">
        <v>19</v>
      </c>
      <c r="E151" s="225">
        <f t="shared" si="43"/>
        <v>0</v>
      </c>
      <c r="F151" s="68">
        <f t="shared" si="44"/>
        <v>0</v>
      </c>
      <c r="G151" s="17">
        <f t="shared" si="45"/>
        <v>0</v>
      </c>
      <c r="H151" s="69">
        <f t="shared" si="46"/>
        <v>0</v>
      </c>
      <c r="J151" s="67" t="s">
        <v>19</v>
      </c>
      <c r="K151" s="240">
        <v>0</v>
      </c>
      <c r="L151" s="241">
        <v>0</v>
      </c>
      <c r="M151" s="242">
        <v>0</v>
      </c>
      <c r="N151" s="240">
        <v>0</v>
      </c>
      <c r="O151" s="241">
        <v>0</v>
      </c>
      <c r="P151" s="242">
        <v>0</v>
      </c>
      <c r="Q151" s="240">
        <v>0</v>
      </c>
      <c r="R151" s="241">
        <v>0</v>
      </c>
      <c r="S151" s="242">
        <v>0</v>
      </c>
      <c r="T151" s="240">
        <v>0</v>
      </c>
      <c r="U151" s="241">
        <v>0</v>
      </c>
      <c r="V151" s="242">
        <v>0</v>
      </c>
      <c r="W151" s="240">
        <v>0</v>
      </c>
      <c r="X151" s="241">
        <v>0</v>
      </c>
      <c r="Y151" s="242">
        <v>0</v>
      </c>
      <c r="Z151" s="240">
        <v>0</v>
      </c>
      <c r="AA151" s="241">
        <v>0</v>
      </c>
      <c r="AB151" s="241">
        <v>0</v>
      </c>
      <c r="AC151" s="240">
        <v>0</v>
      </c>
      <c r="AD151" s="241">
        <v>0</v>
      </c>
      <c r="AE151" s="242">
        <v>0</v>
      </c>
      <c r="AF151" s="240">
        <v>0</v>
      </c>
      <c r="AG151" s="241">
        <v>0</v>
      </c>
      <c r="AH151" s="242">
        <v>0</v>
      </c>
      <c r="AI151" s="240">
        <v>0</v>
      </c>
      <c r="AJ151" s="241">
        <v>0</v>
      </c>
      <c r="AK151" s="242">
        <v>0</v>
      </c>
      <c r="AL151" s="240">
        <v>0</v>
      </c>
      <c r="AM151" s="241">
        <v>0</v>
      </c>
      <c r="AN151" s="242">
        <v>0</v>
      </c>
      <c r="AO151" s="240">
        <v>0</v>
      </c>
      <c r="AP151" s="241">
        <v>0</v>
      </c>
      <c r="AQ151" s="242">
        <v>0</v>
      </c>
      <c r="AR151" s="243">
        <v>0</v>
      </c>
      <c r="AS151" s="243">
        <v>0</v>
      </c>
      <c r="AT151" s="244">
        <v>0</v>
      </c>
    </row>
    <row r="152" spans="4:46" outlineLevel="2">
      <c r="D152" s="18" t="s">
        <v>20</v>
      </c>
      <c r="E152" s="225">
        <f t="shared" si="43"/>
        <v>2700</v>
      </c>
      <c r="F152" s="68">
        <f t="shared" si="44"/>
        <v>-5192.6400000000003</v>
      </c>
      <c r="G152" s="17">
        <f t="shared" si="45"/>
        <v>-2492.6400000000003</v>
      </c>
      <c r="H152" s="69">
        <f t="shared" si="46"/>
        <v>7.7760125503031186E-2</v>
      </c>
      <c r="J152" s="67" t="s">
        <v>20</v>
      </c>
      <c r="K152" s="240">
        <v>200</v>
      </c>
      <c r="L152" s="241">
        <v>-756</v>
      </c>
      <c r="M152" s="242">
        <v>-556</v>
      </c>
      <c r="N152" s="240">
        <v>200</v>
      </c>
      <c r="O152" s="241">
        <v>-110.87</v>
      </c>
      <c r="P152" s="242">
        <v>89.13</v>
      </c>
      <c r="Q152" s="240">
        <v>200</v>
      </c>
      <c r="R152" s="241">
        <v>-20</v>
      </c>
      <c r="S152" s="242">
        <v>180</v>
      </c>
      <c r="T152" s="240">
        <v>200</v>
      </c>
      <c r="U152" s="241">
        <v>-406</v>
      </c>
      <c r="V152" s="242">
        <v>-206</v>
      </c>
      <c r="W152" s="240">
        <v>200</v>
      </c>
      <c r="X152" s="241">
        <v>-330</v>
      </c>
      <c r="Y152" s="242">
        <v>-130</v>
      </c>
      <c r="Z152" s="240">
        <v>200</v>
      </c>
      <c r="AA152" s="241">
        <v>-70</v>
      </c>
      <c r="AB152" s="241">
        <v>130</v>
      </c>
      <c r="AC152" s="240">
        <v>200</v>
      </c>
      <c r="AD152" s="241">
        <v>-113</v>
      </c>
      <c r="AE152" s="242">
        <v>87</v>
      </c>
      <c r="AF152" s="240">
        <v>200</v>
      </c>
      <c r="AG152" s="241">
        <v>-161.19999999999999</v>
      </c>
      <c r="AH152" s="242">
        <v>38.800000000000011</v>
      </c>
      <c r="AI152" s="240">
        <v>200</v>
      </c>
      <c r="AJ152" s="241">
        <v>0</v>
      </c>
      <c r="AK152" s="242">
        <v>200</v>
      </c>
      <c r="AL152" s="240">
        <v>200</v>
      </c>
      <c r="AM152" s="241">
        <v>-1894.5700000000002</v>
      </c>
      <c r="AN152" s="242">
        <v>-1694.5700000000002</v>
      </c>
      <c r="AO152" s="240">
        <v>200</v>
      </c>
      <c r="AP152" s="241">
        <v>-802</v>
      </c>
      <c r="AQ152" s="242">
        <v>-602</v>
      </c>
      <c r="AR152" s="243">
        <v>500</v>
      </c>
      <c r="AS152" s="243">
        <v>-529</v>
      </c>
      <c r="AT152" s="244">
        <v>-29</v>
      </c>
    </row>
    <row r="153" spans="4:46" outlineLevel="2">
      <c r="D153" s="18" t="s">
        <v>21</v>
      </c>
      <c r="E153" s="225">
        <f t="shared" si="43"/>
        <v>1200</v>
      </c>
      <c r="F153" s="68">
        <f t="shared" si="44"/>
        <v>-1402.21</v>
      </c>
      <c r="G153" s="17">
        <f t="shared" si="45"/>
        <v>-202.21000000000004</v>
      </c>
      <c r="H153" s="69">
        <f t="shared" si="46"/>
        <v>2.0998186968787622E-2</v>
      </c>
      <c r="J153" s="67" t="s">
        <v>21</v>
      </c>
      <c r="K153" s="240">
        <v>100</v>
      </c>
      <c r="L153" s="241">
        <v>-138</v>
      </c>
      <c r="M153" s="242">
        <v>-38</v>
      </c>
      <c r="N153" s="240">
        <v>100</v>
      </c>
      <c r="O153" s="241">
        <v>-138</v>
      </c>
      <c r="P153" s="242">
        <v>-38</v>
      </c>
      <c r="Q153" s="240">
        <v>100</v>
      </c>
      <c r="R153" s="241">
        <v>-135</v>
      </c>
      <c r="S153" s="242">
        <v>-35</v>
      </c>
      <c r="T153" s="240">
        <v>100</v>
      </c>
      <c r="U153" s="241">
        <v>-138</v>
      </c>
      <c r="V153" s="242">
        <v>-38</v>
      </c>
      <c r="W153" s="240">
        <v>100</v>
      </c>
      <c r="X153" s="241">
        <v>-135</v>
      </c>
      <c r="Y153" s="242">
        <v>-35</v>
      </c>
      <c r="Z153" s="240">
        <v>100</v>
      </c>
      <c r="AA153" s="241">
        <v>-138</v>
      </c>
      <c r="AB153" s="241">
        <v>-38</v>
      </c>
      <c r="AC153" s="240">
        <v>100</v>
      </c>
      <c r="AD153" s="241">
        <v>-207.21</v>
      </c>
      <c r="AE153" s="242">
        <v>-107.21000000000001</v>
      </c>
      <c r="AF153" s="240">
        <v>100</v>
      </c>
      <c r="AG153" s="241">
        <v>-88</v>
      </c>
      <c r="AH153" s="242">
        <v>12</v>
      </c>
      <c r="AI153" s="240">
        <v>100</v>
      </c>
      <c r="AJ153" s="241">
        <v>-88</v>
      </c>
      <c r="AK153" s="242">
        <v>12</v>
      </c>
      <c r="AL153" s="240">
        <v>100</v>
      </c>
      <c r="AM153" s="241">
        <v>-38</v>
      </c>
      <c r="AN153" s="242">
        <v>62</v>
      </c>
      <c r="AO153" s="240">
        <v>100</v>
      </c>
      <c r="AP153" s="241">
        <v>-88</v>
      </c>
      <c r="AQ153" s="242">
        <v>12</v>
      </c>
      <c r="AR153" s="243">
        <v>100</v>
      </c>
      <c r="AS153" s="243">
        <v>-71</v>
      </c>
      <c r="AT153" s="244">
        <v>29</v>
      </c>
    </row>
    <row r="154" spans="4:46" outlineLevel="2">
      <c r="D154" s="18" t="s">
        <v>22</v>
      </c>
      <c r="E154" s="225">
        <f t="shared" si="43"/>
        <v>17900</v>
      </c>
      <c r="F154" s="68">
        <f t="shared" si="44"/>
        <v>-10437.129999999999</v>
      </c>
      <c r="G154" s="17">
        <f t="shared" si="45"/>
        <v>7462.8700000000008</v>
      </c>
      <c r="H154" s="69">
        <f t="shared" si="46"/>
        <v>0.15629670816606808</v>
      </c>
      <c r="J154" s="67" t="s">
        <v>22</v>
      </c>
      <c r="K154" s="240">
        <v>1400</v>
      </c>
      <c r="L154" s="241">
        <v>-1391</v>
      </c>
      <c r="M154" s="242">
        <v>9</v>
      </c>
      <c r="N154" s="240">
        <v>1500</v>
      </c>
      <c r="O154" s="241">
        <v>-1435</v>
      </c>
      <c r="P154" s="242">
        <v>65</v>
      </c>
      <c r="Q154" s="240">
        <v>1500</v>
      </c>
      <c r="R154" s="241">
        <v>-1409</v>
      </c>
      <c r="S154" s="242">
        <v>91</v>
      </c>
      <c r="T154" s="240">
        <v>1500</v>
      </c>
      <c r="U154" s="241">
        <v>-1427.79</v>
      </c>
      <c r="V154" s="242">
        <v>72.210000000000036</v>
      </c>
      <c r="W154" s="240">
        <v>1500</v>
      </c>
      <c r="X154" s="241">
        <v>-1406.6</v>
      </c>
      <c r="Y154" s="242">
        <v>93.400000000000091</v>
      </c>
      <c r="Z154" s="240">
        <v>1500</v>
      </c>
      <c r="AA154" s="241">
        <v>-1391.49</v>
      </c>
      <c r="AB154" s="241">
        <v>108.50999999999999</v>
      </c>
      <c r="AC154" s="240">
        <v>1500</v>
      </c>
      <c r="AD154" s="241">
        <v>-1330</v>
      </c>
      <c r="AE154" s="242">
        <v>170</v>
      </c>
      <c r="AF154" s="240">
        <v>1500</v>
      </c>
      <c r="AG154" s="241">
        <v>-646.25</v>
      </c>
      <c r="AH154" s="242">
        <v>853.75</v>
      </c>
      <c r="AI154" s="240">
        <v>1500</v>
      </c>
      <c r="AJ154" s="241">
        <v>0</v>
      </c>
      <c r="AK154" s="242">
        <v>1500</v>
      </c>
      <c r="AL154" s="240">
        <v>1500</v>
      </c>
      <c r="AM154" s="241">
        <v>0</v>
      </c>
      <c r="AN154" s="242">
        <v>1500</v>
      </c>
      <c r="AO154" s="240">
        <v>1500</v>
      </c>
      <c r="AP154" s="241">
        <v>0</v>
      </c>
      <c r="AQ154" s="242">
        <v>1500</v>
      </c>
      <c r="AR154" s="243">
        <v>1500</v>
      </c>
      <c r="AS154" s="243">
        <v>0</v>
      </c>
      <c r="AT154" s="244">
        <v>1500</v>
      </c>
    </row>
    <row r="155" spans="4:46" outlineLevel="2">
      <c r="D155" s="18" t="s">
        <v>23</v>
      </c>
      <c r="E155" s="225">
        <f t="shared" si="43"/>
        <v>2877.2</v>
      </c>
      <c r="F155" s="68">
        <f t="shared" si="44"/>
        <v>-10424.68</v>
      </c>
      <c r="G155" s="17">
        <f t="shared" si="45"/>
        <v>-7547.4800000000005</v>
      </c>
      <c r="H155" s="69">
        <f t="shared" si="46"/>
        <v>0.15611026859727212</v>
      </c>
      <c r="J155" s="67" t="s">
        <v>23</v>
      </c>
      <c r="K155" s="240">
        <v>150</v>
      </c>
      <c r="L155" s="241">
        <v>-1225</v>
      </c>
      <c r="M155" s="242">
        <v>-1075</v>
      </c>
      <c r="N155" s="240">
        <v>176.2</v>
      </c>
      <c r="O155" s="241">
        <v>0</v>
      </c>
      <c r="P155" s="242">
        <v>176.2</v>
      </c>
      <c r="Q155" s="240">
        <v>176.2</v>
      </c>
      <c r="R155" s="241">
        <v>0</v>
      </c>
      <c r="S155" s="242">
        <v>176.2</v>
      </c>
      <c r="T155" s="240">
        <v>0</v>
      </c>
      <c r="U155" s="241">
        <v>-483</v>
      </c>
      <c r="V155" s="242">
        <v>-483</v>
      </c>
      <c r="W155" s="240">
        <v>500</v>
      </c>
      <c r="X155" s="241">
        <v>-434</v>
      </c>
      <c r="Y155" s="242">
        <v>66</v>
      </c>
      <c r="Z155" s="240">
        <v>500</v>
      </c>
      <c r="AA155" s="241">
        <v>-2127.9699999999998</v>
      </c>
      <c r="AB155" s="241">
        <v>-1627.9699999999998</v>
      </c>
      <c r="AC155" s="240">
        <v>70</v>
      </c>
      <c r="AD155" s="241">
        <v>-1441.43</v>
      </c>
      <c r="AE155" s="242">
        <v>-1371.43</v>
      </c>
      <c r="AF155" s="240">
        <v>176.2</v>
      </c>
      <c r="AG155" s="241">
        <v>-322.27999999999997</v>
      </c>
      <c r="AH155" s="242">
        <v>-146.07999999999998</v>
      </c>
      <c r="AI155" s="240">
        <v>176.2</v>
      </c>
      <c r="AJ155" s="241">
        <v>0</v>
      </c>
      <c r="AK155" s="242">
        <v>176.2</v>
      </c>
      <c r="AL155" s="240">
        <v>600</v>
      </c>
      <c r="AM155" s="241">
        <v>-593</v>
      </c>
      <c r="AN155" s="242">
        <v>7</v>
      </c>
      <c r="AO155" s="240">
        <v>176.2</v>
      </c>
      <c r="AP155" s="241">
        <v>-3798</v>
      </c>
      <c r="AQ155" s="242">
        <v>-3621.8</v>
      </c>
      <c r="AR155" s="243">
        <v>176.2</v>
      </c>
      <c r="AS155" s="243">
        <v>0</v>
      </c>
      <c r="AT155" s="244">
        <v>176.2</v>
      </c>
    </row>
    <row r="156" spans="4:46" outlineLevel="2">
      <c r="D156" s="18" t="s">
        <v>24</v>
      </c>
      <c r="E156" s="225">
        <f t="shared" si="43"/>
        <v>2400</v>
      </c>
      <c r="F156" s="68">
        <f t="shared" si="44"/>
        <v>-4132.62</v>
      </c>
      <c r="G156" s="17">
        <f t="shared" si="45"/>
        <v>-1732.62</v>
      </c>
      <c r="H156" s="69">
        <f t="shared" si="46"/>
        <v>6.188625628896606E-2</v>
      </c>
      <c r="J156" s="67" t="s">
        <v>24</v>
      </c>
      <c r="K156" s="240">
        <v>200</v>
      </c>
      <c r="L156" s="241">
        <v>-147</v>
      </c>
      <c r="M156" s="242">
        <v>53</v>
      </c>
      <c r="N156" s="240">
        <v>200</v>
      </c>
      <c r="O156" s="241">
        <v>-500</v>
      </c>
      <c r="P156" s="242">
        <v>-300</v>
      </c>
      <c r="Q156" s="240">
        <v>200</v>
      </c>
      <c r="R156" s="241">
        <v>-150</v>
      </c>
      <c r="S156" s="242">
        <v>50</v>
      </c>
      <c r="T156" s="240">
        <v>200</v>
      </c>
      <c r="U156" s="241">
        <v>-31</v>
      </c>
      <c r="V156" s="242">
        <v>169</v>
      </c>
      <c r="W156" s="240">
        <v>200</v>
      </c>
      <c r="X156" s="241">
        <v>-151</v>
      </c>
      <c r="Y156" s="242">
        <v>49</v>
      </c>
      <c r="Z156" s="240">
        <v>200</v>
      </c>
      <c r="AA156" s="241">
        <v>-297.99</v>
      </c>
      <c r="AB156" s="241">
        <v>-97.990000000000009</v>
      </c>
      <c r="AC156" s="240">
        <v>200</v>
      </c>
      <c r="AD156" s="241">
        <v>-1441.43</v>
      </c>
      <c r="AE156" s="242">
        <v>-1241.43</v>
      </c>
      <c r="AF156" s="240">
        <v>200</v>
      </c>
      <c r="AG156" s="241">
        <v>-900</v>
      </c>
      <c r="AH156" s="242">
        <v>-700</v>
      </c>
      <c r="AI156" s="240">
        <v>200</v>
      </c>
      <c r="AJ156" s="241">
        <v>-514.20000000000005</v>
      </c>
      <c r="AK156" s="242">
        <v>-314.20000000000005</v>
      </c>
      <c r="AL156" s="240">
        <v>200</v>
      </c>
      <c r="AM156" s="241">
        <v>0</v>
      </c>
      <c r="AN156" s="242">
        <v>200</v>
      </c>
      <c r="AO156" s="240">
        <v>200</v>
      </c>
      <c r="AP156" s="241">
        <v>0</v>
      </c>
      <c r="AQ156" s="242">
        <v>200</v>
      </c>
      <c r="AR156" s="243">
        <v>200</v>
      </c>
      <c r="AS156" s="243">
        <v>0</v>
      </c>
      <c r="AT156" s="244">
        <v>200</v>
      </c>
    </row>
    <row r="157" spans="4:46" outlineLevel="2">
      <c r="D157" s="18" t="s">
        <v>25</v>
      </c>
      <c r="E157" s="225">
        <f t="shared" si="43"/>
        <v>2723</v>
      </c>
      <c r="F157" s="68">
        <f t="shared" si="44"/>
        <v>-4361.26</v>
      </c>
      <c r="G157" s="17">
        <f t="shared" si="45"/>
        <v>-1638.2600000000002</v>
      </c>
      <c r="H157" s="69">
        <f t="shared" si="46"/>
        <v>6.5310155325874655E-2</v>
      </c>
      <c r="J157" s="67" t="s">
        <v>25</v>
      </c>
      <c r="K157" s="240">
        <v>500</v>
      </c>
      <c r="L157" s="241">
        <v>-500</v>
      </c>
      <c r="M157" s="242">
        <v>0</v>
      </c>
      <c r="N157" s="240">
        <v>500</v>
      </c>
      <c r="O157" s="241">
        <v>-500</v>
      </c>
      <c r="P157" s="242">
        <v>0</v>
      </c>
      <c r="Q157" s="240">
        <v>500</v>
      </c>
      <c r="R157" s="241">
        <v>-1552.1799999999998</v>
      </c>
      <c r="S157" s="242">
        <v>-1052.1799999999998</v>
      </c>
      <c r="T157" s="240">
        <v>0</v>
      </c>
      <c r="U157" s="241">
        <v>-31</v>
      </c>
      <c r="V157" s="242">
        <v>-31</v>
      </c>
      <c r="W157" s="240">
        <v>0</v>
      </c>
      <c r="X157" s="241">
        <v>0</v>
      </c>
      <c r="Y157" s="242">
        <v>0</v>
      </c>
      <c r="Z157" s="240">
        <v>0</v>
      </c>
      <c r="AA157" s="241">
        <v>0</v>
      </c>
      <c r="AB157" s="241">
        <v>0</v>
      </c>
      <c r="AC157" s="240">
        <v>0</v>
      </c>
      <c r="AD157" s="241">
        <v>0</v>
      </c>
      <c r="AE157" s="242">
        <v>0</v>
      </c>
      <c r="AF157" s="240">
        <v>523</v>
      </c>
      <c r="AG157" s="241">
        <v>-523.39</v>
      </c>
      <c r="AH157" s="242">
        <v>-0.38999999999998636</v>
      </c>
      <c r="AI157" s="240">
        <v>100</v>
      </c>
      <c r="AJ157" s="241">
        <v>-69.69</v>
      </c>
      <c r="AK157" s="242">
        <v>30.310000000000002</v>
      </c>
      <c r="AL157" s="240">
        <v>600</v>
      </c>
      <c r="AM157" s="241">
        <v>-1185</v>
      </c>
      <c r="AN157" s="242">
        <v>-585</v>
      </c>
      <c r="AO157" s="240">
        <v>0</v>
      </c>
      <c r="AP157" s="241">
        <v>0</v>
      </c>
      <c r="AQ157" s="242">
        <v>0</v>
      </c>
      <c r="AR157" s="243">
        <v>0</v>
      </c>
      <c r="AS157" s="243">
        <v>0</v>
      </c>
      <c r="AT157" s="244">
        <v>0</v>
      </c>
    </row>
    <row r="158" spans="4:46" outlineLevel="2">
      <c r="D158" s="18" t="s">
        <v>26</v>
      </c>
      <c r="E158" s="225">
        <f t="shared" si="43"/>
        <v>650</v>
      </c>
      <c r="F158" s="68">
        <f t="shared" si="44"/>
        <v>-3302</v>
      </c>
      <c r="G158" s="17">
        <f t="shared" si="45"/>
        <v>-2652</v>
      </c>
      <c r="H158" s="69">
        <f t="shared" si="46"/>
        <v>4.9447667161792261E-2</v>
      </c>
      <c r="J158" s="67" t="s">
        <v>26</v>
      </c>
      <c r="K158" s="240">
        <v>0</v>
      </c>
      <c r="L158" s="241">
        <v>0</v>
      </c>
      <c r="M158" s="242">
        <v>0</v>
      </c>
      <c r="N158" s="240">
        <v>0</v>
      </c>
      <c r="O158" s="241">
        <v>0</v>
      </c>
      <c r="P158" s="242">
        <v>0</v>
      </c>
      <c r="Q158" s="240">
        <v>0</v>
      </c>
      <c r="R158" s="241">
        <v>0</v>
      </c>
      <c r="S158" s="242">
        <v>0</v>
      </c>
      <c r="T158" s="240">
        <v>0</v>
      </c>
      <c r="U158" s="241">
        <v>0</v>
      </c>
      <c r="V158" s="242">
        <v>0</v>
      </c>
      <c r="W158" s="240">
        <v>0</v>
      </c>
      <c r="X158" s="241">
        <v>0</v>
      </c>
      <c r="Y158" s="242">
        <v>0</v>
      </c>
      <c r="Z158" s="240">
        <v>0</v>
      </c>
      <c r="AA158" s="241">
        <v>0</v>
      </c>
      <c r="AB158" s="241">
        <v>0</v>
      </c>
      <c r="AC158" s="240">
        <v>0</v>
      </c>
      <c r="AD158" s="241">
        <v>0</v>
      </c>
      <c r="AE158" s="242">
        <v>0</v>
      </c>
      <c r="AF158" s="240">
        <v>0</v>
      </c>
      <c r="AG158" s="241">
        <v>0</v>
      </c>
      <c r="AH158" s="242"/>
      <c r="AI158" s="240">
        <v>0</v>
      </c>
      <c r="AJ158" s="241">
        <v>-325</v>
      </c>
      <c r="AK158" s="242"/>
      <c r="AL158" s="240">
        <v>650</v>
      </c>
      <c r="AM158" s="241">
        <v>-2977</v>
      </c>
      <c r="AN158" s="242">
        <v>-2327</v>
      </c>
      <c r="AO158" s="240">
        <v>0</v>
      </c>
      <c r="AP158" s="241">
        <v>0</v>
      </c>
      <c r="AQ158" s="242">
        <v>0</v>
      </c>
      <c r="AR158" s="243">
        <v>0</v>
      </c>
      <c r="AS158" s="243">
        <v>0</v>
      </c>
      <c r="AT158" s="244">
        <v>0</v>
      </c>
    </row>
    <row r="159" spans="4:46" ht="13.5" outlineLevel="2" thickBot="1">
      <c r="D159" s="30" t="s">
        <v>27</v>
      </c>
      <c r="E159" s="225">
        <f t="shared" si="43"/>
        <v>0</v>
      </c>
      <c r="F159" s="68">
        <f t="shared" si="44"/>
        <v>0</v>
      </c>
      <c r="G159" s="17"/>
      <c r="H159" s="71">
        <f t="shared" si="46"/>
        <v>0</v>
      </c>
      <c r="I159" s="48"/>
      <c r="J159" s="88" t="s">
        <v>27</v>
      </c>
      <c r="K159" s="245">
        <v>0</v>
      </c>
      <c r="L159" s="246">
        <v>0</v>
      </c>
      <c r="M159" s="247">
        <v>0</v>
      </c>
      <c r="N159" s="245">
        <v>0</v>
      </c>
      <c r="O159" s="246">
        <v>0</v>
      </c>
      <c r="P159" s="247">
        <v>0</v>
      </c>
      <c r="Q159" s="245">
        <v>0</v>
      </c>
      <c r="R159" s="246">
        <v>0</v>
      </c>
      <c r="S159" s="247">
        <v>0</v>
      </c>
      <c r="T159" s="245">
        <v>0</v>
      </c>
      <c r="U159" s="246">
        <v>0</v>
      </c>
      <c r="V159" s="247">
        <v>0</v>
      </c>
      <c r="W159" s="245">
        <v>0</v>
      </c>
      <c r="X159" s="246">
        <v>0</v>
      </c>
      <c r="Y159" s="247">
        <v>0</v>
      </c>
      <c r="Z159" s="245">
        <v>0</v>
      </c>
      <c r="AA159" s="246">
        <v>0</v>
      </c>
      <c r="AB159" s="246">
        <v>0</v>
      </c>
      <c r="AC159" s="245">
        <v>0</v>
      </c>
      <c r="AD159" s="246">
        <v>0</v>
      </c>
      <c r="AE159" s="247">
        <v>0</v>
      </c>
      <c r="AF159" s="240">
        <v>0</v>
      </c>
      <c r="AG159" s="241">
        <v>0</v>
      </c>
      <c r="AH159" s="242">
        <v>0</v>
      </c>
      <c r="AI159" s="240">
        <v>0</v>
      </c>
      <c r="AJ159" s="241">
        <v>0</v>
      </c>
      <c r="AK159" s="242">
        <v>0</v>
      </c>
      <c r="AL159" s="240">
        <v>0</v>
      </c>
      <c r="AM159" s="241">
        <v>0</v>
      </c>
      <c r="AN159" s="242">
        <v>0</v>
      </c>
      <c r="AO159" s="240">
        <v>0</v>
      </c>
      <c r="AP159" s="241">
        <v>0</v>
      </c>
      <c r="AQ159" s="242">
        <v>0</v>
      </c>
      <c r="AR159" s="243">
        <v>0</v>
      </c>
      <c r="AS159" s="243">
        <v>0</v>
      </c>
      <c r="AT159" s="244">
        <v>0</v>
      </c>
    </row>
    <row r="160" spans="4:46" ht="13.5" outlineLevel="2" thickBot="1">
      <c r="D160" s="75" t="s">
        <v>29</v>
      </c>
      <c r="E160" s="268">
        <f>SUM(E140:E159)</f>
        <v>51855.199999999997</v>
      </c>
      <c r="F160" s="269">
        <f>SUM(F140:F159)</f>
        <v>-66777.67</v>
      </c>
      <c r="G160" s="270">
        <f>SUM(G140:G159)</f>
        <v>-14922.47</v>
      </c>
      <c r="J160" s="75" t="s">
        <v>29</v>
      </c>
      <c r="K160" s="245">
        <f t="shared" ref="K160:AT160" si="47">SUM(K140:K159)</f>
        <v>4270</v>
      </c>
      <c r="L160" s="246">
        <f t="shared" si="47"/>
        <v>-5446.3</v>
      </c>
      <c r="M160" s="247">
        <f t="shared" si="47"/>
        <v>-1176.3</v>
      </c>
      <c r="N160" s="245">
        <f t="shared" si="47"/>
        <v>4311.2</v>
      </c>
      <c r="O160" s="246">
        <f t="shared" si="47"/>
        <v>-3857</v>
      </c>
      <c r="P160" s="247">
        <f t="shared" si="47"/>
        <v>454.20000000000005</v>
      </c>
      <c r="Q160" s="246">
        <f t="shared" si="47"/>
        <v>4311.2</v>
      </c>
      <c r="R160" s="246">
        <f t="shared" si="47"/>
        <v>-4697.18</v>
      </c>
      <c r="S160" s="247">
        <f t="shared" si="47"/>
        <v>-385.97999999999979</v>
      </c>
      <c r="T160" s="245">
        <f t="shared" si="47"/>
        <v>3835</v>
      </c>
      <c r="U160" s="246">
        <f t="shared" si="47"/>
        <v>-3703.47</v>
      </c>
      <c r="V160" s="247">
        <f t="shared" si="47"/>
        <v>131.53000000000009</v>
      </c>
      <c r="W160" s="245">
        <f t="shared" si="47"/>
        <v>4135</v>
      </c>
      <c r="X160" s="246">
        <f t="shared" si="47"/>
        <v>-3265.6</v>
      </c>
      <c r="Y160" s="247">
        <f t="shared" si="47"/>
        <v>869.40000000000009</v>
      </c>
      <c r="Z160" s="245">
        <f t="shared" si="47"/>
        <v>4135</v>
      </c>
      <c r="AA160" s="246">
        <f t="shared" si="47"/>
        <v>-5456.4499999999989</v>
      </c>
      <c r="AB160" s="247">
        <f t="shared" si="47"/>
        <v>-1321.4499999999998</v>
      </c>
      <c r="AC160" s="245">
        <f t="shared" si="47"/>
        <v>3880</v>
      </c>
      <c r="AD160" s="246">
        <f t="shared" si="47"/>
        <v>-5315.3700000000008</v>
      </c>
      <c r="AE160" s="246">
        <f t="shared" si="47"/>
        <v>-1435.3700000000001</v>
      </c>
      <c r="AF160" s="248">
        <f t="shared" si="47"/>
        <v>4384.2</v>
      </c>
      <c r="AG160" s="249">
        <f t="shared" si="47"/>
        <v>-6033.73</v>
      </c>
      <c r="AH160" s="250">
        <f t="shared" si="47"/>
        <v>-1649.5300000000002</v>
      </c>
      <c r="AI160" s="251">
        <f t="shared" si="47"/>
        <v>3991.2</v>
      </c>
      <c r="AJ160" s="252">
        <f t="shared" si="47"/>
        <v>-4713.08</v>
      </c>
      <c r="AK160" s="253">
        <f t="shared" si="47"/>
        <v>-396.88000000000011</v>
      </c>
      <c r="AL160" s="251">
        <f t="shared" si="47"/>
        <v>5565</v>
      </c>
      <c r="AM160" s="252">
        <f t="shared" si="47"/>
        <v>-10673.970000000001</v>
      </c>
      <c r="AN160" s="253">
        <f t="shared" si="47"/>
        <v>-5108.97</v>
      </c>
      <c r="AO160" s="251">
        <f t="shared" si="47"/>
        <v>3891.2</v>
      </c>
      <c r="AP160" s="252">
        <f t="shared" si="47"/>
        <v>-8292.92</v>
      </c>
      <c r="AQ160" s="253">
        <f t="shared" si="47"/>
        <v>-4401.72</v>
      </c>
      <c r="AR160" s="251">
        <f t="shared" si="47"/>
        <v>5146.2</v>
      </c>
      <c r="AS160" s="252">
        <f t="shared" si="47"/>
        <v>-5322.6</v>
      </c>
      <c r="AT160" s="253">
        <f t="shared" si="47"/>
        <v>-176.39999999999992</v>
      </c>
    </row>
    <row r="161" spans="4:46" ht="14.1" customHeight="1" outlineLevel="2" thickBot="1">
      <c r="E161" s="705">
        <v>2020</v>
      </c>
      <c r="F161" s="706"/>
      <c r="G161" s="707"/>
      <c r="J161" s="58">
        <f>E161</f>
        <v>2020</v>
      </c>
      <c r="K161" s="710">
        <f>B97</f>
        <v>0</v>
      </c>
      <c r="L161" s="711"/>
      <c r="M161" s="712"/>
      <c r="N161" s="710">
        <v>43862</v>
      </c>
      <c r="O161" s="711"/>
      <c r="P161" s="712"/>
      <c r="Q161" s="710">
        <v>43891</v>
      </c>
      <c r="R161" s="711"/>
      <c r="S161" s="712"/>
      <c r="T161" s="710">
        <v>43922</v>
      </c>
      <c r="U161" s="711"/>
      <c r="V161" s="712"/>
      <c r="W161" s="710">
        <v>43952</v>
      </c>
      <c r="X161" s="711"/>
      <c r="Y161" s="712"/>
      <c r="Z161" s="710">
        <v>43983</v>
      </c>
      <c r="AA161" s="711"/>
      <c r="AB161" s="712"/>
      <c r="AC161" s="710">
        <v>44032</v>
      </c>
      <c r="AD161" s="711"/>
      <c r="AE161" s="712"/>
      <c r="AF161" s="710">
        <v>44063</v>
      </c>
      <c r="AG161" s="711"/>
      <c r="AH161" s="712"/>
      <c r="AI161" s="710">
        <v>44094</v>
      </c>
      <c r="AJ161" s="711"/>
      <c r="AK161" s="712"/>
      <c r="AL161" s="710">
        <v>44124</v>
      </c>
      <c r="AM161" s="711"/>
      <c r="AN161" s="712"/>
      <c r="AO161" s="710" t="s">
        <v>74</v>
      </c>
      <c r="AP161" s="711"/>
      <c r="AQ161" s="712"/>
      <c r="AR161" s="710">
        <v>44185</v>
      </c>
      <c r="AS161" s="711"/>
      <c r="AT161" s="712"/>
    </row>
    <row r="162" spans="4:46" outlineLevel="2">
      <c r="D162" s="106" t="s">
        <v>7</v>
      </c>
      <c r="E162" s="60" t="s">
        <v>60</v>
      </c>
      <c r="F162" s="61" t="s">
        <v>61</v>
      </c>
      <c r="G162" s="62" t="s">
        <v>62</v>
      </c>
      <c r="H162" s="63" t="s">
        <v>73</v>
      </c>
      <c r="J162" s="106" t="s">
        <v>7</v>
      </c>
      <c r="K162" s="60" t="s">
        <v>60</v>
      </c>
      <c r="L162" s="61" t="s">
        <v>61</v>
      </c>
      <c r="M162" s="62" t="s">
        <v>62</v>
      </c>
      <c r="N162" s="60" t="s">
        <v>60</v>
      </c>
      <c r="O162" s="61" t="s">
        <v>61</v>
      </c>
      <c r="P162" s="61" t="s">
        <v>62</v>
      </c>
      <c r="Q162" s="60" t="s">
        <v>60</v>
      </c>
      <c r="R162" s="61" t="s">
        <v>61</v>
      </c>
      <c r="S162" s="62" t="s">
        <v>62</v>
      </c>
      <c r="T162" s="60" t="s">
        <v>60</v>
      </c>
      <c r="U162" s="61" t="s">
        <v>61</v>
      </c>
      <c r="V162" s="62" t="s">
        <v>62</v>
      </c>
      <c r="W162" s="60" t="s">
        <v>60</v>
      </c>
      <c r="X162" s="61" t="s">
        <v>61</v>
      </c>
      <c r="Y162" s="62" t="s">
        <v>62</v>
      </c>
      <c r="Z162" s="60" t="s">
        <v>60</v>
      </c>
      <c r="AA162" s="61" t="s">
        <v>61</v>
      </c>
      <c r="AB162" s="62" t="s">
        <v>62</v>
      </c>
      <c r="AC162" s="60" t="s">
        <v>60</v>
      </c>
      <c r="AD162" s="61" t="s">
        <v>61</v>
      </c>
      <c r="AE162" s="62" t="s">
        <v>62</v>
      </c>
      <c r="AF162" s="60" t="s">
        <v>60</v>
      </c>
      <c r="AG162" s="61" t="s">
        <v>61</v>
      </c>
      <c r="AH162" s="62" t="s">
        <v>62</v>
      </c>
      <c r="AI162" s="60" t="s">
        <v>60</v>
      </c>
      <c r="AJ162" s="61" t="s">
        <v>61</v>
      </c>
      <c r="AK162" s="62" t="s">
        <v>62</v>
      </c>
      <c r="AL162" s="60" t="s">
        <v>60</v>
      </c>
      <c r="AM162" s="61" t="s">
        <v>61</v>
      </c>
      <c r="AN162" s="62" t="s">
        <v>62</v>
      </c>
      <c r="AO162" s="60" t="s">
        <v>60</v>
      </c>
      <c r="AP162" s="61" t="s">
        <v>61</v>
      </c>
      <c r="AQ162" s="62" t="s">
        <v>62</v>
      </c>
      <c r="AR162" s="60" t="s">
        <v>60</v>
      </c>
      <c r="AS162" s="61" t="s">
        <v>61</v>
      </c>
      <c r="AT162" s="62" t="s">
        <v>62</v>
      </c>
    </row>
    <row r="163" spans="4:46" outlineLevel="2">
      <c r="D163" s="79" t="s">
        <v>8</v>
      </c>
      <c r="E163" s="82">
        <v>2316</v>
      </c>
      <c r="F163" s="80">
        <v>-3356.2</v>
      </c>
      <c r="G163" s="237">
        <v>-1040.1999999999998</v>
      </c>
      <c r="H163" s="66">
        <v>5.4447070440349903E-2</v>
      </c>
      <c r="I163" s="107"/>
      <c r="J163" s="64" t="s">
        <v>8</v>
      </c>
      <c r="K163" s="235">
        <v>153</v>
      </c>
      <c r="L163" s="236">
        <v>-223.81</v>
      </c>
      <c r="M163" s="237">
        <v>-70.81</v>
      </c>
      <c r="N163" s="235">
        <v>153</v>
      </c>
      <c r="O163" s="236">
        <v>-257</v>
      </c>
      <c r="P163" s="237">
        <v>-104</v>
      </c>
      <c r="Q163" s="235">
        <v>153</v>
      </c>
      <c r="R163" s="236">
        <v>-330</v>
      </c>
      <c r="S163" s="237">
        <v>-177</v>
      </c>
      <c r="T163" s="235">
        <v>153</v>
      </c>
      <c r="U163" s="236">
        <v>-259</v>
      </c>
      <c r="V163" s="237">
        <v>-106</v>
      </c>
      <c r="W163" s="235">
        <v>300</v>
      </c>
      <c r="X163" s="236">
        <v>-293</v>
      </c>
      <c r="Y163" s="237">
        <v>7</v>
      </c>
      <c r="Z163" s="235">
        <v>313</v>
      </c>
      <c r="AA163" s="236">
        <v>-313</v>
      </c>
      <c r="AB163" s="236">
        <v>0</v>
      </c>
      <c r="AC163" s="235">
        <v>149</v>
      </c>
      <c r="AD163" s="236">
        <v>-236</v>
      </c>
      <c r="AE163" s="237">
        <v>-87</v>
      </c>
      <c r="AF163" s="235">
        <v>151</v>
      </c>
      <c r="AG163" s="236">
        <v>-199</v>
      </c>
      <c r="AH163" s="237">
        <v>-48</v>
      </c>
      <c r="AI163" s="235">
        <v>300</v>
      </c>
      <c r="AJ163" s="236">
        <v>-394.5</v>
      </c>
      <c r="AK163" s="237">
        <v>-94.5</v>
      </c>
      <c r="AL163" s="235">
        <v>149</v>
      </c>
      <c r="AM163" s="236">
        <v>-295.92</v>
      </c>
      <c r="AN163" s="237">
        <v>-146.92000000000002</v>
      </c>
      <c r="AO163" s="235">
        <v>149</v>
      </c>
      <c r="AP163" s="236">
        <v>-156</v>
      </c>
      <c r="AQ163" s="237">
        <v>-7</v>
      </c>
      <c r="AR163" s="236">
        <v>149</v>
      </c>
      <c r="AS163" s="236">
        <v>-231.97</v>
      </c>
      <c r="AT163" s="237">
        <v>-82.97</v>
      </c>
    </row>
    <row r="164" spans="4:46" outlineLevel="2">
      <c r="D164" s="18" t="s">
        <v>9</v>
      </c>
      <c r="E164" s="85">
        <v>893.19</v>
      </c>
      <c r="F164" s="84">
        <v>-812.38</v>
      </c>
      <c r="G164" s="242">
        <v>80.810000000000059</v>
      </c>
      <c r="H164" s="69">
        <v>1.3179104667281871E-2</v>
      </c>
      <c r="J164" s="67" t="s">
        <v>9</v>
      </c>
      <c r="K164" s="240">
        <v>75</v>
      </c>
      <c r="L164" s="241">
        <v>-70.19</v>
      </c>
      <c r="M164" s="242">
        <v>4.8100000000000023</v>
      </c>
      <c r="N164" s="240">
        <v>75</v>
      </c>
      <c r="O164" s="241">
        <v>-75</v>
      </c>
      <c r="P164" s="242">
        <v>0</v>
      </c>
      <c r="Q164" s="240">
        <v>75</v>
      </c>
      <c r="R164" s="241">
        <v>0</v>
      </c>
      <c r="S164" s="242">
        <v>75</v>
      </c>
      <c r="T164" s="240">
        <v>68.19</v>
      </c>
      <c r="U164" s="241">
        <v>-70</v>
      </c>
      <c r="V164" s="242">
        <v>-1.8100000000000023</v>
      </c>
      <c r="W164" s="240">
        <v>75</v>
      </c>
      <c r="X164" s="241">
        <v>-70</v>
      </c>
      <c r="Y164" s="242">
        <v>5</v>
      </c>
      <c r="Z164" s="240">
        <v>75</v>
      </c>
      <c r="AA164" s="241">
        <v>-70.19</v>
      </c>
      <c r="AB164" s="241">
        <v>4.8100000000000023</v>
      </c>
      <c r="AC164" s="240">
        <v>75</v>
      </c>
      <c r="AD164" s="241">
        <v>0</v>
      </c>
      <c r="AE164" s="242">
        <v>75</v>
      </c>
      <c r="AF164" s="240">
        <v>75</v>
      </c>
      <c r="AG164" s="241">
        <v>-65</v>
      </c>
      <c r="AH164" s="242">
        <v>10</v>
      </c>
      <c r="AI164" s="240">
        <v>75</v>
      </c>
      <c r="AJ164" s="241">
        <v>-64</v>
      </c>
      <c r="AK164" s="242">
        <v>11</v>
      </c>
      <c r="AL164" s="240">
        <v>75</v>
      </c>
      <c r="AM164" s="241">
        <v>-64</v>
      </c>
      <c r="AN164" s="242">
        <v>11</v>
      </c>
      <c r="AO164" s="240">
        <v>75</v>
      </c>
      <c r="AP164" s="241">
        <v>-64</v>
      </c>
      <c r="AQ164" s="242">
        <v>11</v>
      </c>
      <c r="AR164" s="254">
        <v>75</v>
      </c>
      <c r="AS164" s="254">
        <v>-200</v>
      </c>
      <c r="AT164" s="242">
        <v>-125</v>
      </c>
    </row>
    <row r="165" spans="4:46" outlineLevel="2">
      <c r="D165" s="18" t="s">
        <v>10</v>
      </c>
      <c r="E165" s="85">
        <v>410</v>
      </c>
      <c r="F165" s="84">
        <v>0</v>
      </c>
      <c r="G165" s="242">
        <v>410</v>
      </c>
      <c r="H165" s="69">
        <v>0</v>
      </c>
      <c r="J165" s="67" t="s">
        <v>10</v>
      </c>
      <c r="K165" s="240">
        <v>25</v>
      </c>
      <c r="L165" s="241">
        <v>0</v>
      </c>
      <c r="M165" s="242">
        <v>25</v>
      </c>
      <c r="N165" s="240">
        <v>25</v>
      </c>
      <c r="O165" s="241">
        <v>0</v>
      </c>
      <c r="P165" s="242">
        <v>25</v>
      </c>
      <c r="Q165" s="240">
        <v>25</v>
      </c>
      <c r="R165" s="241">
        <v>0</v>
      </c>
      <c r="S165" s="242">
        <v>25</v>
      </c>
      <c r="T165" s="240">
        <v>25</v>
      </c>
      <c r="U165" s="241">
        <v>0</v>
      </c>
      <c r="V165" s="242">
        <v>25</v>
      </c>
      <c r="W165" s="240">
        <v>40</v>
      </c>
      <c r="X165" s="241">
        <v>0</v>
      </c>
      <c r="Y165" s="242">
        <v>40</v>
      </c>
      <c r="Z165" s="240">
        <v>40</v>
      </c>
      <c r="AA165" s="241">
        <v>0</v>
      </c>
      <c r="AB165" s="241">
        <v>40</v>
      </c>
      <c r="AC165" s="240">
        <v>40</v>
      </c>
      <c r="AD165" s="241">
        <v>0</v>
      </c>
      <c r="AE165" s="242">
        <v>40</v>
      </c>
      <c r="AF165" s="240">
        <v>30</v>
      </c>
      <c r="AG165" s="241">
        <v>0</v>
      </c>
      <c r="AH165" s="242">
        <v>30</v>
      </c>
      <c r="AI165" s="240">
        <v>40</v>
      </c>
      <c r="AJ165" s="241">
        <v>0</v>
      </c>
      <c r="AK165" s="242">
        <v>40</v>
      </c>
      <c r="AL165" s="240">
        <v>40</v>
      </c>
      <c r="AM165" s="241">
        <v>0</v>
      </c>
      <c r="AN165" s="242">
        <v>40</v>
      </c>
      <c r="AO165" s="240">
        <v>40</v>
      </c>
      <c r="AP165" s="241">
        <v>0</v>
      </c>
      <c r="AQ165" s="242">
        <v>40</v>
      </c>
      <c r="AR165" s="254">
        <v>40</v>
      </c>
      <c r="AS165" s="254">
        <v>0</v>
      </c>
      <c r="AT165" s="242">
        <v>40</v>
      </c>
    </row>
    <row r="166" spans="4:46" outlineLevel="2">
      <c r="D166" s="18" t="s">
        <v>11</v>
      </c>
      <c r="E166" s="85">
        <v>480</v>
      </c>
      <c r="F166" s="84">
        <v>-322</v>
      </c>
      <c r="G166" s="242">
        <v>158</v>
      </c>
      <c r="H166" s="69">
        <v>5.2237520653693626E-3</v>
      </c>
      <c r="J166" s="67" t="s">
        <v>11</v>
      </c>
      <c r="K166" s="240">
        <v>0</v>
      </c>
      <c r="L166" s="241">
        <v>0</v>
      </c>
      <c r="M166" s="242">
        <v>0</v>
      </c>
      <c r="N166" s="240">
        <v>50</v>
      </c>
      <c r="O166" s="241">
        <v>-45</v>
      </c>
      <c r="P166" s="242">
        <v>5</v>
      </c>
      <c r="Q166" s="240">
        <v>0</v>
      </c>
      <c r="R166" s="241">
        <v>0</v>
      </c>
      <c r="S166" s="242">
        <v>0</v>
      </c>
      <c r="T166" s="240">
        <v>50</v>
      </c>
      <c r="U166" s="241">
        <v>0</v>
      </c>
      <c r="V166" s="242">
        <v>50</v>
      </c>
      <c r="W166" s="240">
        <v>50</v>
      </c>
      <c r="X166" s="241">
        <v>-100</v>
      </c>
      <c r="Y166" s="242">
        <v>-50</v>
      </c>
      <c r="Z166" s="240">
        <v>50</v>
      </c>
      <c r="AA166" s="241">
        <v>0</v>
      </c>
      <c r="AB166" s="241">
        <v>50</v>
      </c>
      <c r="AC166" s="240">
        <v>50</v>
      </c>
      <c r="AD166" s="241">
        <v>0</v>
      </c>
      <c r="AE166" s="242">
        <v>50</v>
      </c>
      <c r="AF166" s="240">
        <v>30</v>
      </c>
      <c r="AG166" s="241">
        <v>0</v>
      </c>
      <c r="AH166" s="242">
        <v>30</v>
      </c>
      <c r="AI166" s="240">
        <v>50</v>
      </c>
      <c r="AJ166" s="241">
        <v>-90</v>
      </c>
      <c r="AK166" s="242">
        <v>-40</v>
      </c>
      <c r="AL166" s="240">
        <v>50</v>
      </c>
      <c r="AM166" s="241">
        <v>0</v>
      </c>
      <c r="AN166" s="242">
        <v>50</v>
      </c>
      <c r="AO166" s="240">
        <v>50</v>
      </c>
      <c r="AP166" s="241">
        <v>0</v>
      </c>
      <c r="AQ166" s="242">
        <v>50</v>
      </c>
      <c r="AR166" s="254">
        <v>50</v>
      </c>
      <c r="AS166" s="254">
        <v>0</v>
      </c>
      <c r="AT166" s="242">
        <v>50</v>
      </c>
    </row>
    <row r="167" spans="4:46" outlineLevel="2">
      <c r="D167" s="18" t="s">
        <v>75</v>
      </c>
      <c r="E167" s="85">
        <v>0</v>
      </c>
      <c r="F167" s="84">
        <v>0</v>
      </c>
      <c r="G167" s="242">
        <v>0</v>
      </c>
      <c r="H167" s="69">
        <v>0</v>
      </c>
      <c r="J167" s="67" t="s">
        <v>75</v>
      </c>
      <c r="K167" s="240">
        <v>0</v>
      </c>
      <c r="L167" s="241">
        <v>0</v>
      </c>
      <c r="M167" s="242">
        <v>0</v>
      </c>
      <c r="N167" s="240">
        <v>0</v>
      </c>
      <c r="O167" s="241">
        <v>0</v>
      </c>
      <c r="P167" s="242">
        <v>0</v>
      </c>
      <c r="Q167" s="240">
        <v>0</v>
      </c>
      <c r="R167" s="241">
        <v>0</v>
      </c>
      <c r="S167" s="242">
        <v>0</v>
      </c>
      <c r="T167" s="240">
        <v>0</v>
      </c>
      <c r="U167" s="241">
        <v>0</v>
      </c>
      <c r="V167" s="242">
        <v>0</v>
      </c>
      <c r="W167" s="240">
        <v>0</v>
      </c>
      <c r="X167" s="241">
        <v>0</v>
      </c>
      <c r="Y167" s="242">
        <v>0</v>
      </c>
      <c r="Z167" s="240">
        <v>0</v>
      </c>
      <c r="AA167" s="241">
        <v>0</v>
      </c>
      <c r="AB167" s="241">
        <v>0</v>
      </c>
      <c r="AC167" s="240">
        <v>0</v>
      </c>
      <c r="AD167" s="241">
        <v>0</v>
      </c>
      <c r="AE167" s="242">
        <v>0</v>
      </c>
      <c r="AF167" s="240">
        <v>0</v>
      </c>
      <c r="AG167" s="241">
        <v>0</v>
      </c>
      <c r="AH167" s="242">
        <v>0</v>
      </c>
      <c r="AI167" s="240">
        <v>0</v>
      </c>
      <c r="AJ167" s="241">
        <v>0</v>
      </c>
      <c r="AK167" s="242">
        <v>0</v>
      </c>
      <c r="AL167" s="240">
        <v>0</v>
      </c>
      <c r="AM167" s="241">
        <v>0</v>
      </c>
      <c r="AN167" s="242">
        <v>0</v>
      </c>
      <c r="AO167" s="240">
        <v>0</v>
      </c>
      <c r="AP167" s="241">
        <v>0</v>
      </c>
      <c r="AQ167" s="242">
        <v>0</v>
      </c>
      <c r="AR167" s="254">
        <v>0</v>
      </c>
      <c r="AS167" s="254">
        <v>0</v>
      </c>
      <c r="AT167" s="242">
        <v>0</v>
      </c>
    </row>
    <row r="168" spans="4:46" outlineLevel="2">
      <c r="D168" s="18" t="s">
        <v>13</v>
      </c>
      <c r="E168" s="85">
        <v>7000</v>
      </c>
      <c r="F168" s="84">
        <v>-7226.4800000000005</v>
      </c>
      <c r="G168" s="242">
        <v>-226.48000000000047</v>
      </c>
      <c r="H168" s="69">
        <v>0.11723397461288942</v>
      </c>
      <c r="J168" s="67" t="s">
        <v>13</v>
      </c>
      <c r="K168" s="240">
        <v>700</v>
      </c>
      <c r="L168" s="241">
        <v>-749.25</v>
      </c>
      <c r="M168" s="242">
        <v>-49.25</v>
      </c>
      <c r="N168" s="240">
        <v>600</v>
      </c>
      <c r="O168" s="241">
        <v>-711</v>
      </c>
      <c r="P168" s="242">
        <v>-111</v>
      </c>
      <c r="Q168" s="240">
        <v>300</v>
      </c>
      <c r="R168" s="241">
        <v>-544</v>
      </c>
      <c r="S168" s="242">
        <v>-244</v>
      </c>
      <c r="T168" s="240">
        <v>400</v>
      </c>
      <c r="U168" s="241">
        <v>-323.36</v>
      </c>
      <c r="V168" s="242">
        <v>76.639999999999986</v>
      </c>
      <c r="W168" s="240">
        <v>450</v>
      </c>
      <c r="X168" s="241">
        <v>-346</v>
      </c>
      <c r="Y168" s="242">
        <v>104</v>
      </c>
      <c r="Z168" s="240">
        <v>350</v>
      </c>
      <c r="AA168" s="241">
        <v>-735</v>
      </c>
      <c r="AB168" s="241">
        <v>-385</v>
      </c>
      <c r="AC168" s="240">
        <v>800</v>
      </c>
      <c r="AD168" s="241">
        <v>-756</v>
      </c>
      <c r="AE168" s="242">
        <v>44</v>
      </c>
      <c r="AF168" s="240">
        <v>1450</v>
      </c>
      <c r="AG168" s="241">
        <v>-1435</v>
      </c>
      <c r="AH168" s="242">
        <v>15</v>
      </c>
      <c r="AI168" s="240">
        <v>800</v>
      </c>
      <c r="AJ168" s="241">
        <v>-619</v>
      </c>
      <c r="AK168" s="242">
        <v>181</v>
      </c>
      <c r="AL168" s="240">
        <v>600</v>
      </c>
      <c r="AM168" s="241">
        <v>-601</v>
      </c>
      <c r="AN168" s="242">
        <v>-1</v>
      </c>
      <c r="AO168" s="240">
        <v>500</v>
      </c>
      <c r="AP168" s="241">
        <v>-134</v>
      </c>
      <c r="AQ168" s="242">
        <v>366</v>
      </c>
      <c r="AR168" s="254">
        <v>300</v>
      </c>
      <c r="AS168" s="254">
        <v>-219.87</v>
      </c>
      <c r="AT168" s="242">
        <v>80.13</v>
      </c>
    </row>
    <row r="169" spans="4:46" outlineLevel="2">
      <c r="D169" s="47" t="s">
        <v>14</v>
      </c>
      <c r="E169" s="85">
        <v>2325</v>
      </c>
      <c r="F169" s="84">
        <v>-2895.82</v>
      </c>
      <c r="G169" s="242">
        <v>-570.82000000000016</v>
      </c>
      <c r="H169" s="69">
        <v>4.6978402813471765E-2</v>
      </c>
      <c r="J169" s="70" t="s">
        <v>14</v>
      </c>
      <c r="K169" s="240">
        <v>400</v>
      </c>
      <c r="L169" s="241">
        <v>-267</v>
      </c>
      <c r="M169" s="242">
        <v>133</v>
      </c>
      <c r="N169" s="240">
        <v>280</v>
      </c>
      <c r="O169" s="241">
        <v>-53</v>
      </c>
      <c r="P169" s="242">
        <v>227</v>
      </c>
      <c r="Q169" s="240">
        <v>370</v>
      </c>
      <c r="R169" s="241">
        <v>-58</v>
      </c>
      <c r="S169" s="242">
        <v>312</v>
      </c>
      <c r="T169" s="240">
        <v>300</v>
      </c>
      <c r="U169" s="241">
        <v>-216</v>
      </c>
      <c r="V169" s="242">
        <v>84</v>
      </c>
      <c r="W169" s="240">
        <v>300</v>
      </c>
      <c r="X169" s="241">
        <v>-237</v>
      </c>
      <c r="Y169" s="242">
        <v>63</v>
      </c>
      <c r="Z169" s="240">
        <v>100</v>
      </c>
      <c r="AA169" s="241">
        <v>-248</v>
      </c>
      <c r="AB169" s="241">
        <v>-148</v>
      </c>
      <c r="AC169" s="240">
        <v>100</v>
      </c>
      <c r="AD169" s="241">
        <v>-332</v>
      </c>
      <c r="AE169" s="242">
        <v>-232</v>
      </c>
      <c r="AF169" s="240">
        <v>75</v>
      </c>
      <c r="AG169" s="241">
        <v>-594</v>
      </c>
      <c r="AH169" s="242">
        <v>-519</v>
      </c>
      <c r="AI169" s="240">
        <v>100</v>
      </c>
      <c r="AJ169" s="241">
        <v>-756</v>
      </c>
      <c r="AK169" s="242">
        <v>-656</v>
      </c>
      <c r="AL169" s="240">
        <v>100</v>
      </c>
      <c r="AM169" s="241">
        <v>-56</v>
      </c>
      <c r="AN169" s="242">
        <v>44</v>
      </c>
      <c r="AO169" s="240">
        <v>100</v>
      </c>
      <c r="AP169" s="241">
        <v>0</v>
      </c>
      <c r="AQ169" s="242">
        <v>100</v>
      </c>
      <c r="AR169" s="254">
        <v>100</v>
      </c>
      <c r="AS169" s="254">
        <v>-78.819999999999993</v>
      </c>
      <c r="AT169" s="242">
        <v>21.180000000000007</v>
      </c>
    </row>
    <row r="170" spans="4:46" outlineLevel="2">
      <c r="D170" s="18" t="s">
        <v>15</v>
      </c>
      <c r="E170" s="85">
        <v>2638</v>
      </c>
      <c r="F170" s="84">
        <v>-1819.54</v>
      </c>
      <c r="G170" s="242">
        <v>818.46</v>
      </c>
      <c r="H170" s="69">
        <v>2.9518092649137174E-2</v>
      </c>
      <c r="J170" s="67" t="s">
        <v>15</v>
      </c>
      <c r="K170" s="240">
        <v>200</v>
      </c>
      <c r="L170" s="241">
        <v>-385</v>
      </c>
      <c r="M170" s="242">
        <v>-185</v>
      </c>
      <c r="N170" s="240">
        <v>250</v>
      </c>
      <c r="O170" s="241">
        <v>-55</v>
      </c>
      <c r="P170" s="242">
        <v>195</v>
      </c>
      <c r="Q170" s="240">
        <v>200</v>
      </c>
      <c r="R170" s="241">
        <v>-101</v>
      </c>
      <c r="S170" s="242">
        <v>99</v>
      </c>
      <c r="T170" s="240">
        <v>200</v>
      </c>
      <c r="U170" s="241">
        <v>-73.62</v>
      </c>
      <c r="V170" s="242">
        <v>126.38</v>
      </c>
      <c r="W170" s="240">
        <v>368</v>
      </c>
      <c r="X170" s="241">
        <v>-150</v>
      </c>
      <c r="Y170" s="242">
        <v>218</v>
      </c>
      <c r="Z170" s="240">
        <v>200</v>
      </c>
      <c r="AA170" s="241">
        <v>-158</v>
      </c>
      <c r="AB170" s="241">
        <v>42</v>
      </c>
      <c r="AC170" s="240">
        <v>200</v>
      </c>
      <c r="AD170" s="241">
        <v>-55</v>
      </c>
      <c r="AE170" s="242">
        <v>145</v>
      </c>
      <c r="AF170" s="240">
        <v>220</v>
      </c>
      <c r="AG170" s="241">
        <v>-90</v>
      </c>
      <c r="AH170" s="242">
        <v>130</v>
      </c>
      <c r="AI170" s="240">
        <v>200</v>
      </c>
      <c r="AJ170" s="241">
        <v>-114</v>
      </c>
      <c r="AK170" s="242">
        <v>86</v>
      </c>
      <c r="AL170" s="240">
        <v>200</v>
      </c>
      <c r="AM170" s="241">
        <v>-303.92</v>
      </c>
      <c r="AN170" s="242">
        <v>-103.92000000000002</v>
      </c>
      <c r="AO170" s="240">
        <v>200</v>
      </c>
      <c r="AP170" s="241">
        <v>-40</v>
      </c>
      <c r="AQ170" s="242">
        <v>160</v>
      </c>
      <c r="AR170" s="254">
        <v>200</v>
      </c>
      <c r="AS170" s="254">
        <v>-106</v>
      </c>
      <c r="AT170" s="242">
        <v>94</v>
      </c>
    </row>
    <row r="171" spans="4:46" outlineLevel="2">
      <c r="D171" s="18" t="s">
        <v>16</v>
      </c>
      <c r="E171" s="85">
        <v>2850</v>
      </c>
      <c r="F171" s="84">
        <v>-4201.05</v>
      </c>
      <c r="G171" s="242">
        <v>-1351.0500000000002</v>
      </c>
      <c r="H171" s="69">
        <v>6.8152930478943982E-2</v>
      </c>
      <c r="J171" s="67" t="s">
        <v>16</v>
      </c>
      <c r="K171" s="240">
        <v>700</v>
      </c>
      <c r="L171" s="241">
        <v>-910</v>
      </c>
      <c r="M171" s="242">
        <v>-210</v>
      </c>
      <c r="N171" s="240">
        <v>100</v>
      </c>
      <c r="O171" s="241">
        <v>-81</v>
      </c>
      <c r="P171" s="242">
        <v>19</v>
      </c>
      <c r="Q171" s="240">
        <v>350</v>
      </c>
      <c r="R171" s="241">
        <v>-506</v>
      </c>
      <c r="S171" s="242">
        <v>-156</v>
      </c>
      <c r="T171" s="240">
        <v>200</v>
      </c>
      <c r="U171" s="241">
        <v>-226</v>
      </c>
      <c r="V171" s="242">
        <v>-26</v>
      </c>
      <c r="W171" s="240">
        <v>50</v>
      </c>
      <c r="X171" s="241">
        <v>-49.87</v>
      </c>
      <c r="Y171" s="242">
        <v>0.13000000000000256</v>
      </c>
      <c r="Z171" s="240">
        <v>400</v>
      </c>
      <c r="AA171" s="241">
        <v>-392</v>
      </c>
      <c r="AB171" s="241">
        <v>8</v>
      </c>
      <c r="AC171" s="240">
        <v>100</v>
      </c>
      <c r="AD171" s="241">
        <v>-308</v>
      </c>
      <c r="AE171" s="242">
        <v>-208</v>
      </c>
      <c r="AF171" s="240">
        <v>400</v>
      </c>
      <c r="AG171" s="241">
        <v>0</v>
      </c>
      <c r="AH171" s="242">
        <v>400</v>
      </c>
      <c r="AI171" s="240">
        <v>50</v>
      </c>
      <c r="AJ171" s="241">
        <v>-350</v>
      </c>
      <c r="AK171" s="242">
        <v>-300</v>
      </c>
      <c r="AL171" s="240">
        <v>50</v>
      </c>
      <c r="AM171" s="241">
        <v>-293</v>
      </c>
      <c r="AN171" s="242">
        <v>-243</v>
      </c>
      <c r="AO171" s="240">
        <v>50</v>
      </c>
      <c r="AP171" s="241">
        <v>0</v>
      </c>
      <c r="AQ171" s="242">
        <v>50</v>
      </c>
      <c r="AR171" s="254">
        <v>400</v>
      </c>
      <c r="AS171" s="254">
        <v>-950.18000000000006</v>
      </c>
      <c r="AT171" s="242">
        <v>-550.18000000000006</v>
      </c>
    </row>
    <row r="172" spans="4:46" outlineLevel="2">
      <c r="D172" s="18" t="s">
        <v>17</v>
      </c>
      <c r="E172" s="85">
        <v>2650</v>
      </c>
      <c r="F172" s="84">
        <v>-4736.63</v>
      </c>
      <c r="G172" s="242">
        <v>-2086.63</v>
      </c>
      <c r="H172" s="69">
        <v>7.6841555109908338E-2</v>
      </c>
      <c r="J172" s="67" t="s">
        <v>17</v>
      </c>
      <c r="K172" s="240">
        <v>500</v>
      </c>
      <c r="L172" s="241">
        <v>-423</v>
      </c>
      <c r="M172" s="242">
        <v>77</v>
      </c>
      <c r="N172" s="240">
        <v>150</v>
      </c>
      <c r="O172" s="241">
        <v>-540.69000000000005</v>
      </c>
      <c r="P172" s="242">
        <v>-390.69000000000005</v>
      </c>
      <c r="Q172" s="240">
        <v>100</v>
      </c>
      <c r="R172" s="241">
        <v>-301</v>
      </c>
      <c r="S172" s="242">
        <v>-201</v>
      </c>
      <c r="T172" s="240">
        <v>400</v>
      </c>
      <c r="U172" s="241">
        <v>-506</v>
      </c>
      <c r="V172" s="242">
        <v>-106</v>
      </c>
      <c r="W172" s="240">
        <v>300</v>
      </c>
      <c r="X172" s="241">
        <v>-462</v>
      </c>
      <c r="Y172" s="242">
        <v>-162</v>
      </c>
      <c r="Z172" s="240">
        <v>150</v>
      </c>
      <c r="AA172" s="241">
        <v>-649.80999999999995</v>
      </c>
      <c r="AB172" s="241">
        <v>-499.80999999999995</v>
      </c>
      <c r="AC172" s="240">
        <v>150</v>
      </c>
      <c r="AD172" s="241">
        <v>-599</v>
      </c>
      <c r="AE172" s="242">
        <v>-449</v>
      </c>
      <c r="AF172" s="240">
        <v>150</v>
      </c>
      <c r="AG172" s="241">
        <v>-201</v>
      </c>
      <c r="AH172" s="242">
        <v>-51</v>
      </c>
      <c r="AI172" s="240">
        <v>150</v>
      </c>
      <c r="AJ172" s="241">
        <v>-147</v>
      </c>
      <c r="AK172" s="242">
        <v>3</v>
      </c>
      <c r="AL172" s="240">
        <v>150</v>
      </c>
      <c r="AM172" s="241">
        <v>-312</v>
      </c>
      <c r="AN172" s="242">
        <v>-162</v>
      </c>
      <c r="AO172" s="240">
        <v>300</v>
      </c>
      <c r="AP172" s="241">
        <v>-250</v>
      </c>
      <c r="AQ172" s="242">
        <v>50</v>
      </c>
      <c r="AR172" s="254">
        <v>150</v>
      </c>
      <c r="AS172" s="254">
        <v>-302.13</v>
      </c>
      <c r="AT172" s="242">
        <v>-152.13</v>
      </c>
    </row>
    <row r="173" spans="4:46" outlineLevel="2">
      <c r="D173" s="18" t="s">
        <v>18</v>
      </c>
      <c r="E173" s="85">
        <v>763</v>
      </c>
      <c r="F173" s="84">
        <v>-585.66</v>
      </c>
      <c r="G173" s="242">
        <v>177.34000000000003</v>
      </c>
      <c r="H173" s="69">
        <v>9.5010640826218035E-3</v>
      </c>
      <c r="J173" s="67" t="s">
        <v>18</v>
      </c>
      <c r="K173" s="240">
        <v>50</v>
      </c>
      <c r="L173" s="241">
        <v>-42</v>
      </c>
      <c r="M173" s="242">
        <v>8</v>
      </c>
      <c r="N173" s="240">
        <v>86</v>
      </c>
      <c r="O173" s="241">
        <v>-120</v>
      </c>
      <c r="P173" s="242">
        <v>-34</v>
      </c>
      <c r="Q173" s="240">
        <v>119</v>
      </c>
      <c r="R173" s="241">
        <v>-129</v>
      </c>
      <c r="S173" s="242">
        <v>-10</v>
      </c>
      <c r="T173" s="240">
        <v>119</v>
      </c>
      <c r="U173" s="241">
        <v>0</v>
      </c>
      <c r="V173" s="242">
        <v>119</v>
      </c>
      <c r="W173" s="240">
        <v>119</v>
      </c>
      <c r="X173" s="241">
        <v>0</v>
      </c>
      <c r="Y173" s="242">
        <v>119</v>
      </c>
      <c r="Z173" s="240">
        <v>30</v>
      </c>
      <c r="AA173" s="241">
        <v>0</v>
      </c>
      <c r="AB173" s="241">
        <v>30</v>
      </c>
      <c r="AC173" s="240">
        <v>30</v>
      </c>
      <c r="AD173" s="241">
        <v>0</v>
      </c>
      <c r="AE173" s="242">
        <v>30</v>
      </c>
      <c r="AF173" s="240">
        <v>0</v>
      </c>
      <c r="AG173" s="241">
        <v>0</v>
      </c>
      <c r="AH173" s="242">
        <v>0</v>
      </c>
      <c r="AI173" s="240">
        <v>30</v>
      </c>
      <c r="AJ173" s="241">
        <v>-99.5</v>
      </c>
      <c r="AK173" s="242">
        <v>-69.5</v>
      </c>
      <c r="AL173" s="240">
        <v>30</v>
      </c>
      <c r="AM173" s="241">
        <v>-58.16</v>
      </c>
      <c r="AN173" s="242">
        <v>-28.159999999999997</v>
      </c>
      <c r="AO173" s="240">
        <v>120</v>
      </c>
      <c r="AP173" s="241">
        <v>-87</v>
      </c>
      <c r="AQ173" s="242">
        <v>33</v>
      </c>
      <c r="AR173" s="254">
        <v>30</v>
      </c>
      <c r="AS173" s="254">
        <v>0</v>
      </c>
      <c r="AT173" s="242">
        <v>30</v>
      </c>
    </row>
    <row r="174" spans="4:46" outlineLevel="2">
      <c r="D174" s="18" t="s">
        <v>19</v>
      </c>
      <c r="E174" s="85">
        <v>0</v>
      </c>
      <c r="F174" s="84">
        <v>0</v>
      </c>
      <c r="G174" s="242">
        <v>0</v>
      </c>
      <c r="H174" s="69">
        <v>0</v>
      </c>
      <c r="J174" s="67" t="s">
        <v>19</v>
      </c>
      <c r="K174" s="240">
        <v>0</v>
      </c>
      <c r="L174" s="241">
        <v>0</v>
      </c>
      <c r="M174" s="242">
        <v>0</v>
      </c>
      <c r="N174" s="240">
        <v>0</v>
      </c>
      <c r="O174" s="241">
        <v>0</v>
      </c>
      <c r="P174" s="242">
        <v>0</v>
      </c>
      <c r="Q174" s="240">
        <v>0</v>
      </c>
      <c r="R174" s="241">
        <v>0</v>
      </c>
      <c r="S174" s="242">
        <v>0</v>
      </c>
      <c r="T174" s="240">
        <v>0</v>
      </c>
      <c r="U174" s="241">
        <v>0</v>
      </c>
      <c r="V174" s="242">
        <v>0</v>
      </c>
      <c r="W174" s="240">
        <v>0</v>
      </c>
      <c r="X174" s="241">
        <v>0</v>
      </c>
      <c r="Y174" s="242">
        <v>0</v>
      </c>
      <c r="Z174" s="240">
        <v>0</v>
      </c>
      <c r="AA174" s="241">
        <v>0</v>
      </c>
      <c r="AB174" s="241">
        <v>0</v>
      </c>
      <c r="AC174" s="240">
        <v>0</v>
      </c>
      <c r="AD174" s="241">
        <v>0</v>
      </c>
      <c r="AE174" s="242">
        <v>0</v>
      </c>
      <c r="AF174" s="240">
        <v>0</v>
      </c>
      <c r="AG174" s="241">
        <v>0</v>
      </c>
      <c r="AH174" s="242">
        <v>0</v>
      </c>
      <c r="AI174" s="240">
        <v>0</v>
      </c>
      <c r="AJ174" s="241">
        <v>0</v>
      </c>
      <c r="AK174" s="242">
        <v>0</v>
      </c>
      <c r="AL174" s="240">
        <v>0</v>
      </c>
      <c r="AM174" s="241">
        <v>0</v>
      </c>
      <c r="AN174" s="242">
        <v>0</v>
      </c>
      <c r="AO174" s="240">
        <v>0</v>
      </c>
      <c r="AP174" s="241">
        <v>0</v>
      </c>
      <c r="AQ174" s="242">
        <v>0</v>
      </c>
      <c r="AR174" s="254">
        <v>0</v>
      </c>
      <c r="AS174" s="254">
        <v>0</v>
      </c>
      <c r="AT174" s="242">
        <v>0</v>
      </c>
    </row>
    <row r="175" spans="4:46" outlineLevel="2">
      <c r="D175" s="18" t="s">
        <v>20</v>
      </c>
      <c r="E175" s="85">
        <v>4970</v>
      </c>
      <c r="F175" s="84">
        <v>-3321.9</v>
      </c>
      <c r="G175" s="242">
        <v>1648.1</v>
      </c>
      <c r="H175" s="69">
        <v>5.3890627285560516E-2</v>
      </c>
      <c r="J175" s="67" t="s">
        <v>20</v>
      </c>
      <c r="K175" s="240">
        <v>500</v>
      </c>
      <c r="L175" s="241">
        <v>-347</v>
      </c>
      <c r="M175" s="242">
        <v>153</v>
      </c>
      <c r="N175" s="240">
        <v>100</v>
      </c>
      <c r="O175" s="241">
        <v>-222</v>
      </c>
      <c r="P175" s="242">
        <v>-122</v>
      </c>
      <c r="Q175" s="240">
        <v>450</v>
      </c>
      <c r="R175" s="241">
        <v>-484</v>
      </c>
      <c r="S175" s="242">
        <v>-34</v>
      </c>
      <c r="T175" s="240">
        <v>100</v>
      </c>
      <c r="U175" s="241">
        <v>-218</v>
      </c>
      <c r="V175" s="242">
        <v>-118</v>
      </c>
      <c r="W175" s="240">
        <v>150</v>
      </c>
      <c r="X175" s="241">
        <v>-236.13</v>
      </c>
      <c r="Y175" s="242">
        <v>-86.13</v>
      </c>
      <c r="Z175" s="240">
        <v>600</v>
      </c>
      <c r="AA175" s="241">
        <v>-157</v>
      </c>
      <c r="AB175" s="241">
        <v>443</v>
      </c>
      <c r="AC175" s="240">
        <v>600</v>
      </c>
      <c r="AD175" s="241">
        <v>-398</v>
      </c>
      <c r="AE175" s="242">
        <v>202</v>
      </c>
      <c r="AF175" s="240">
        <v>70</v>
      </c>
      <c r="AG175" s="241">
        <v>-262</v>
      </c>
      <c r="AH175" s="242">
        <v>-192</v>
      </c>
      <c r="AI175" s="240">
        <v>600</v>
      </c>
      <c r="AJ175" s="241">
        <v>-328.77</v>
      </c>
      <c r="AK175" s="242">
        <v>271.23</v>
      </c>
      <c r="AL175" s="240">
        <v>600</v>
      </c>
      <c r="AM175" s="241">
        <v>-119</v>
      </c>
      <c r="AN175" s="242">
        <v>481</v>
      </c>
      <c r="AO175" s="240">
        <v>600</v>
      </c>
      <c r="AP175" s="241">
        <v>-221</v>
      </c>
      <c r="AQ175" s="242">
        <v>379</v>
      </c>
      <c r="AR175" s="254">
        <v>600</v>
      </c>
      <c r="AS175" s="254">
        <v>-166</v>
      </c>
      <c r="AT175" s="242">
        <v>434</v>
      </c>
    </row>
    <row r="176" spans="4:46" outlineLevel="2">
      <c r="D176" s="18" t="s">
        <v>21</v>
      </c>
      <c r="E176" s="85">
        <v>1430</v>
      </c>
      <c r="F176" s="84">
        <v>-1817</v>
      </c>
      <c r="G176" s="242">
        <v>-387</v>
      </c>
      <c r="H176" s="69">
        <v>2.9476886654584259E-2</v>
      </c>
      <c r="J176" s="67" t="s">
        <v>21</v>
      </c>
      <c r="K176" s="240">
        <v>130</v>
      </c>
      <c r="L176" s="241">
        <v>-160</v>
      </c>
      <c r="M176" s="242">
        <v>-30</v>
      </c>
      <c r="N176" s="240">
        <v>130</v>
      </c>
      <c r="O176" s="241">
        <v>-180</v>
      </c>
      <c r="P176" s="242">
        <v>-50</v>
      </c>
      <c r="Q176" s="240">
        <v>130</v>
      </c>
      <c r="R176" s="241">
        <v>-150</v>
      </c>
      <c r="S176" s="242">
        <v>-20</v>
      </c>
      <c r="T176" s="240">
        <v>130</v>
      </c>
      <c r="U176" s="241">
        <v>-168</v>
      </c>
      <c r="V176" s="242">
        <v>-38</v>
      </c>
      <c r="W176" s="240">
        <v>150</v>
      </c>
      <c r="X176" s="241">
        <v>-138</v>
      </c>
      <c r="Y176" s="242">
        <v>12</v>
      </c>
      <c r="Z176" s="240">
        <v>100</v>
      </c>
      <c r="AA176" s="241">
        <v>-138</v>
      </c>
      <c r="AB176" s="241">
        <v>-38</v>
      </c>
      <c r="AC176" s="240">
        <v>100</v>
      </c>
      <c r="AD176" s="241">
        <v>-138</v>
      </c>
      <c r="AE176" s="242">
        <v>-38</v>
      </c>
      <c r="AF176" s="240">
        <v>160</v>
      </c>
      <c r="AG176" s="241">
        <v>-135</v>
      </c>
      <c r="AH176" s="242">
        <v>25</v>
      </c>
      <c r="AI176" s="240">
        <v>100</v>
      </c>
      <c r="AJ176" s="241">
        <v>-140</v>
      </c>
      <c r="AK176" s="242">
        <v>-40</v>
      </c>
      <c r="AL176" s="240">
        <v>100</v>
      </c>
      <c r="AM176" s="241">
        <v>-194</v>
      </c>
      <c r="AN176" s="242">
        <v>-94</v>
      </c>
      <c r="AO176" s="240">
        <v>100</v>
      </c>
      <c r="AP176" s="241">
        <v>-138</v>
      </c>
      <c r="AQ176" s="242">
        <v>-38</v>
      </c>
      <c r="AR176" s="254">
        <v>100</v>
      </c>
      <c r="AS176" s="254">
        <v>-138</v>
      </c>
      <c r="AT176" s="242">
        <v>-38</v>
      </c>
    </row>
    <row r="177" spans="4:46" outlineLevel="2">
      <c r="D177" s="18" t="s">
        <v>22</v>
      </c>
      <c r="E177" s="85">
        <v>17164</v>
      </c>
      <c r="F177" s="84">
        <v>-16928.246666666666</v>
      </c>
      <c r="G177" s="242">
        <v>235.75333333333401</v>
      </c>
      <c r="H177" s="69">
        <v>0.27462411021143485</v>
      </c>
      <c r="J177" s="67" t="s">
        <v>22</v>
      </c>
      <c r="K177" s="240">
        <v>1600</v>
      </c>
      <c r="L177" s="241">
        <v>-1616.9166666666667</v>
      </c>
      <c r="M177" s="242">
        <v>-16.916666666666742</v>
      </c>
      <c r="N177" s="240">
        <v>1400</v>
      </c>
      <c r="O177" s="241">
        <v>-1365</v>
      </c>
      <c r="P177" s="242">
        <v>35</v>
      </c>
      <c r="Q177" s="240">
        <v>925</v>
      </c>
      <c r="R177" s="241">
        <v>-1459</v>
      </c>
      <c r="S177" s="242">
        <v>-534</v>
      </c>
      <c r="T177" s="240">
        <v>1550</v>
      </c>
      <c r="U177" s="241">
        <v>-1547</v>
      </c>
      <c r="V177" s="242">
        <v>3</v>
      </c>
      <c r="W177" s="240">
        <v>1365</v>
      </c>
      <c r="X177" s="241">
        <v>-1430</v>
      </c>
      <c r="Y177" s="242">
        <v>-65</v>
      </c>
      <c r="Z177" s="240">
        <v>1400</v>
      </c>
      <c r="AA177" s="241">
        <v>-1439</v>
      </c>
      <c r="AB177" s="241">
        <v>-39</v>
      </c>
      <c r="AC177" s="240">
        <v>785</v>
      </c>
      <c r="AD177" s="241">
        <v>0</v>
      </c>
      <c r="AE177" s="242">
        <v>785</v>
      </c>
      <c r="AF177" s="240">
        <v>1365</v>
      </c>
      <c r="AG177" s="241">
        <v>-1365</v>
      </c>
      <c r="AH177" s="242">
        <v>0</v>
      </c>
      <c r="AI177" s="240">
        <v>1674</v>
      </c>
      <c r="AJ177" s="241">
        <v>-1674.33</v>
      </c>
      <c r="AK177" s="242">
        <v>-0.32999999999992724</v>
      </c>
      <c r="AL177" s="240">
        <v>1900</v>
      </c>
      <c r="AM177" s="241">
        <v>-1868</v>
      </c>
      <c r="AN177" s="242">
        <v>32</v>
      </c>
      <c r="AO177" s="240">
        <v>785</v>
      </c>
      <c r="AP177" s="241">
        <v>-80</v>
      </c>
      <c r="AQ177" s="242">
        <v>705</v>
      </c>
      <c r="AR177" s="254">
        <v>1500</v>
      </c>
      <c r="AS177" s="254">
        <v>-1449</v>
      </c>
      <c r="AT177" s="242">
        <v>51</v>
      </c>
    </row>
    <row r="178" spans="4:46" outlineLevel="2">
      <c r="D178" s="18" t="s">
        <v>23</v>
      </c>
      <c r="E178" s="85">
        <v>2522.1999999999998</v>
      </c>
      <c r="F178" s="84">
        <v>-816</v>
      </c>
      <c r="G178" s="242">
        <v>1706.1999999999998</v>
      </c>
      <c r="H178" s="69">
        <v>1.3237831320936025E-2</v>
      </c>
      <c r="J178" s="67" t="s">
        <v>23</v>
      </c>
      <c r="K178" s="240">
        <v>500</v>
      </c>
      <c r="L178" s="241">
        <v>-125</v>
      </c>
      <c r="M178" s="242">
        <v>375</v>
      </c>
      <c r="N178" s="240">
        <v>165</v>
      </c>
      <c r="O178" s="241">
        <v>-165</v>
      </c>
      <c r="P178" s="242">
        <v>0</v>
      </c>
      <c r="Q178" s="240">
        <v>600</v>
      </c>
      <c r="R178" s="241">
        <v>-120</v>
      </c>
      <c r="S178" s="242">
        <v>480</v>
      </c>
      <c r="T178" s="240">
        <v>0</v>
      </c>
      <c r="U178" s="241">
        <v>0</v>
      </c>
      <c r="V178" s="242">
        <v>0</v>
      </c>
      <c r="W178" s="240">
        <v>0</v>
      </c>
      <c r="X178" s="241">
        <v>0</v>
      </c>
      <c r="Y178" s="242">
        <v>0</v>
      </c>
      <c r="Z178" s="240">
        <v>176.2</v>
      </c>
      <c r="AA178" s="241">
        <v>0</v>
      </c>
      <c r="AB178" s="241">
        <v>176.2</v>
      </c>
      <c r="AC178" s="240">
        <v>176.2</v>
      </c>
      <c r="AD178" s="241">
        <v>-100</v>
      </c>
      <c r="AE178" s="242">
        <v>76.199999999999989</v>
      </c>
      <c r="AF178" s="240">
        <v>200</v>
      </c>
      <c r="AG178" s="241">
        <v>0</v>
      </c>
      <c r="AH178" s="242">
        <v>200</v>
      </c>
      <c r="AI178" s="240">
        <v>176.2</v>
      </c>
      <c r="AJ178" s="241">
        <v>-103</v>
      </c>
      <c r="AK178" s="242">
        <v>73.199999999999989</v>
      </c>
      <c r="AL178" s="240">
        <v>176.2</v>
      </c>
      <c r="AM178" s="241">
        <v>0</v>
      </c>
      <c r="AN178" s="242">
        <v>176.2</v>
      </c>
      <c r="AO178" s="240">
        <v>176.2</v>
      </c>
      <c r="AP178" s="241">
        <v>0</v>
      </c>
      <c r="AQ178" s="242">
        <v>176.2</v>
      </c>
      <c r="AR178" s="254">
        <v>176.2</v>
      </c>
      <c r="AS178" s="254">
        <v>0</v>
      </c>
      <c r="AT178" s="242">
        <v>176.2</v>
      </c>
    </row>
    <row r="179" spans="4:46" outlineLevel="2">
      <c r="D179" s="18" t="s">
        <v>24</v>
      </c>
      <c r="E179" s="85">
        <v>4590</v>
      </c>
      <c r="F179" s="84">
        <v>-2409.61</v>
      </c>
      <c r="G179" s="242">
        <v>2180.39</v>
      </c>
      <c r="H179" s="69">
        <v>3.9090699423089036E-2</v>
      </c>
      <c r="J179" s="67" t="s">
        <v>24</v>
      </c>
      <c r="K179" s="240">
        <v>100</v>
      </c>
      <c r="L179" s="241">
        <v>0</v>
      </c>
      <c r="M179" s="242">
        <v>100</v>
      </c>
      <c r="N179" s="240">
        <v>150</v>
      </c>
      <c r="O179" s="241">
        <v>-150</v>
      </c>
      <c r="P179" s="242">
        <v>0</v>
      </c>
      <c r="Q179" s="240">
        <v>70</v>
      </c>
      <c r="R179" s="241">
        <v>-100</v>
      </c>
      <c r="S179" s="242">
        <v>-30</v>
      </c>
      <c r="T179" s="240">
        <v>100</v>
      </c>
      <c r="U179" s="241">
        <v>0</v>
      </c>
      <c r="V179" s="242">
        <v>100</v>
      </c>
      <c r="W179" s="240">
        <v>1020</v>
      </c>
      <c r="X179" s="241">
        <v>-1100</v>
      </c>
      <c r="Y179" s="242">
        <v>-80</v>
      </c>
      <c r="Z179" s="240">
        <v>200</v>
      </c>
      <c r="AA179" s="241">
        <v>-100</v>
      </c>
      <c r="AB179" s="241">
        <v>100</v>
      </c>
      <c r="AC179" s="240">
        <v>1200</v>
      </c>
      <c r="AD179" s="241">
        <v>-100</v>
      </c>
      <c r="AE179" s="242">
        <v>1100</v>
      </c>
      <c r="AF179" s="240">
        <v>100</v>
      </c>
      <c r="AG179" s="241">
        <v>-150</v>
      </c>
      <c r="AH179" s="242">
        <v>-50</v>
      </c>
      <c r="AI179" s="240">
        <v>200</v>
      </c>
      <c r="AJ179" s="241">
        <v>-230.98000000000002</v>
      </c>
      <c r="AK179" s="242">
        <v>-30.980000000000018</v>
      </c>
      <c r="AL179" s="240">
        <v>200</v>
      </c>
      <c r="AM179" s="241">
        <v>-150</v>
      </c>
      <c r="AN179" s="242">
        <v>50</v>
      </c>
      <c r="AO179" s="240">
        <v>50</v>
      </c>
      <c r="AP179" s="241">
        <v>-28.63</v>
      </c>
      <c r="AQ179" s="242">
        <v>21.37</v>
      </c>
      <c r="AR179" s="254">
        <v>1200</v>
      </c>
      <c r="AS179" s="254">
        <v>-150</v>
      </c>
      <c r="AT179" s="242">
        <v>1050</v>
      </c>
    </row>
    <row r="180" spans="4:46" outlineLevel="2">
      <c r="D180" s="18" t="s">
        <v>25</v>
      </c>
      <c r="E180" s="85">
        <v>13499</v>
      </c>
      <c r="F180" s="84">
        <v>-10393</v>
      </c>
      <c r="G180" s="242">
        <v>3106</v>
      </c>
      <c r="H180" s="69">
        <v>0.1686038981844217</v>
      </c>
      <c r="J180" s="67" t="s">
        <v>25</v>
      </c>
      <c r="K180" s="240">
        <v>40</v>
      </c>
      <c r="L180" s="241">
        <v>0</v>
      </c>
      <c r="M180" s="242">
        <v>40</v>
      </c>
      <c r="N180" s="240">
        <v>150</v>
      </c>
      <c r="O180" s="241">
        <v>-150</v>
      </c>
      <c r="P180" s="242">
        <v>0</v>
      </c>
      <c r="Q180" s="240">
        <v>40</v>
      </c>
      <c r="R180" s="241">
        <v>0</v>
      </c>
      <c r="S180" s="242">
        <v>40</v>
      </c>
      <c r="T180" s="240">
        <v>50</v>
      </c>
      <c r="U180" s="241">
        <v>0</v>
      </c>
      <c r="V180" s="242">
        <v>50</v>
      </c>
      <c r="W180" s="240"/>
      <c r="X180" s="241"/>
      <c r="Y180" s="242"/>
      <c r="Z180" s="240">
        <v>700</v>
      </c>
      <c r="AA180" s="241">
        <v>0</v>
      </c>
      <c r="AB180" s="241">
        <v>700</v>
      </c>
      <c r="AC180" s="240">
        <v>700</v>
      </c>
      <c r="AD180" s="241">
        <v>-221</v>
      </c>
      <c r="AE180" s="242">
        <v>479</v>
      </c>
      <c r="AF180" s="240">
        <v>119</v>
      </c>
      <c r="AG180" s="241">
        <v>0</v>
      </c>
      <c r="AH180" s="242">
        <v>119</v>
      </c>
      <c r="AI180" s="240">
        <v>700</v>
      </c>
      <c r="AJ180" s="241">
        <v>0</v>
      </c>
      <c r="AK180" s="242">
        <v>700</v>
      </c>
      <c r="AL180" s="240">
        <v>700</v>
      </c>
      <c r="AM180" s="241">
        <v>-100</v>
      </c>
      <c r="AN180" s="242">
        <v>600</v>
      </c>
      <c r="AO180" s="240">
        <v>700</v>
      </c>
      <c r="AP180" s="241">
        <v>0</v>
      </c>
      <c r="AQ180" s="242">
        <v>700</v>
      </c>
      <c r="AR180" s="254">
        <v>10000</v>
      </c>
      <c r="AS180" s="254">
        <v>-9561</v>
      </c>
      <c r="AT180" s="242">
        <v>439</v>
      </c>
    </row>
    <row r="181" spans="4:46" ht="13.5" outlineLevel="2" thickBot="1">
      <c r="D181" s="30" t="s">
        <v>27</v>
      </c>
      <c r="E181" s="85">
        <v>640</v>
      </c>
      <c r="F181" s="84">
        <v>0</v>
      </c>
      <c r="G181" s="242">
        <v>640</v>
      </c>
      <c r="H181" s="71">
        <v>0</v>
      </c>
      <c r="I181" s="48"/>
      <c r="J181" s="88" t="s">
        <v>27</v>
      </c>
      <c r="K181" s="245">
        <v>0</v>
      </c>
      <c r="L181" s="246">
        <v>0</v>
      </c>
      <c r="M181" s="247">
        <v>0</v>
      </c>
      <c r="N181" s="245">
        <v>100</v>
      </c>
      <c r="O181" s="246">
        <v>0</v>
      </c>
      <c r="P181" s="247">
        <v>100</v>
      </c>
      <c r="Q181" s="245">
        <v>40</v>
      </c>
      <c r="R181" s="246">
        <v>0</v>
      </c>
      <c r="S181" s="247">
        <v>40</v>
      </c>
      <c r="T181" s="245">
        <v>100</v>
      </c>
      <c r="U181" s="246">
        <v>0</v>
      </c>
      <c r="V181" s="247">
        <v>100</v>
      </c>
      <c r="W181" s="245"/>
      <c r="X181" s="246"/>
      <c r="Y181" s="247"/>
      <c r="Z181" s="245">
        <v>100</v>
      </c>
      <c r="AA181" s="246">
        <v>0</v>
      </c>
      <c r="AB181" s="246">
        <v>100</v>
      </c>
      <c r="AC181" s="245">
        <v>100</v>
      </c>
      <c r="AD181" s="246">
        <v>0</v>
      </c>
      <c r="AE181" s="247">
        <v>100</v>
      </c>
      <c r="AF181" s="240">
        <v>0</v>
      </c>
      <c r="AG181" s="241">
        <v>0</v>
      </c>
      <c r="AH181" s="242">
        <v>0</v>
      </c>
      <c r="AI181" s="245">
        <v>100</v>
      </c>
      <c r="AJ181" s="246">
        <v>0</v>
      </c>
      <c r="AK181" s="247">
        <v>100</v>
      </c>
      <c r="AL181" s="245">
        <v>100</v>
      </c>
      <c r="AM181" s="246">
        <v>0</v>
      </c>
      <c r="AN181" s="247">
        <v>0</v>
      </c>
      <c r="AO181" s="245"/>
      <c r="AP181" s="246"/>
      <c r="AQ181" s="247"/>
      <c r="AR181" s="246"/>
      <c r="AS181" s="246"/>
      <c r="AT181" s="247"/>
    </row>
    <row r="182" spans="4:46" ht="13.5" outlineLevel="2" thickBot="1">
      <c r="D182" s="75" t="s">
        <v>29</v>
      </c>
      <c r="E182" s="271">
        <v>67140.39</v>
      </c>
      <c r="F182" s="272">
        <v>-61641.51666666667</v>
      </c>
      <c r="G182" s="273">
        <v>5498.873333333333</v>
      </c>
      <c r="J182" s="75" t="s">
        <v>29</v>
      </c>
      <c r="K182" s="89">
        <v>5673</v>
      </c>
      <c r="L182" s="87">
        <v>-5319.166666666667</v>
      </c>
      <c r="M182" s="90">
        <v>353.83333333333326</v>
      </c>
      <c r="N182" s="89">
        <v>3964</v>
      </c>
      <c r="O182" s="87">
        <v>-4169.6900000000005</v>
      </c>
      <c r="P182" s="90">
        <v>-305.69000000000005</v>
      </c>
      <c r="Q182" s="87">
        <v>3907</v>
      </c>
      <c r="R182" s="87">
        <v>-4282</v>
      </c>
      <c r="S182" s="90">
        <v>-375</v>
      </c>
      <c r="T182" s="89">
        <v>3845.19</v>
      </c>
      <c r="U182" s="87">
        <v>-3606.98</v>
      </c>
      <c r="V182" s="90">
        <v>238.20999999999998</v>
      </c>
      <c r="W182" s="89">
        <v>4737</v>
      </c>
      <c r="X182" s="87">
        <v>-4612</v>
      </c>
      <c r="Y182" s="90">
        <v>125</v>
      </c>
      <c r="Z182" s="89">
        <v>4884.2</v>
      </c>
      <c r="AA182" s="87">
        <v>-4400</v>
      </c>
      <c r="AB182" s="90">
        <v>484.2</v>
      </c>
      <c r="AC182" s="89">
        <v>5255.2</v>
      </c>
      <c r="AD182" s="87">
        <v>-3243</v>
      </c>
      <c r="AE182" s="87">
        <v>2012.2</v>
      </c>
      <c r="AF182" s="255">
        <v>4595</v>
      </c>
      <c r="AG182" s="256">
        <v>-4496</v>
      </c>
      <c r="AH182" s="257">
        <v>99</v>
      </c>
      <c r="AI182" s="87">
        <v>5245.2</v>
      </c>
      <c r="AJ182" s="87">
        <v>-5111.08</v>
      </c>
      <c r="AK182" s="90">
        <v>134.12000000000012</v>
      </c>
      <c r="AL182" s="89">
        <v>5120.2</v>
      </c>
      <c r="AM182" s="87">
        <v>-4415</v>
      </c>
      <c r="AN182" s="90">
        <v>705.2</v>
      </c>
      <c r="AO182" s="89">
        <v>4304.2</v>
      </c>
      <c r="AP182" s="87">
        <v>-4433.63</v>
      </c>
      <c r="AQ182" s="90">
        <v>-129.43</v>
      </c>
      <c r="AR182" s="89">
        <v>15070.2</v>
      </c>
      <c r="AS182" s="87">
        <v>-13552.970000000001</v>
      </c>
      <c r="AT182" s="90">
        <v>1517.23</v>
      </c>
    </row>
    <row r="183" spans="4:46" ht="14.1" customHeight="1" outlineLevel="2" thickBot="1">
      <c r="E183" s="705">
        <v>2019</v>
      </c>
      <c r="F183" s="706"/>
      <c r="G183" s="707"/>
      <c r="J183" s="58">
        <f>E183</f>
        <v>2019</v>
      </c>
      <c r="K183" s="710">
        <v>43466</v>
      </c>
      <c r="L183" s="711"/>
      <c r="M183" s="712"/>
      <c r="N183" s="710">
        <v>43497</v>
      </c>
      <c r="O183" s="711"/>
      <c r="P183" s="712"/>
      <c r="Q183" s="710">
        <v>43525</v>
      </c>
      <c r="R183" s="711"/>
      <c r="S183" s="712"/>
      <c r="T183" s="710">
        <v>43556</v>
      </c>
      <c r="U183" s="711"/>
      <c r="V183" s="712"/>
      <c r="W183" s="710">
        <v>43586</v>
      </c>
      <c r="X183" s="711"/>
      <c r="Y183" s="712"/>
      <c r="Z183" s="710">
        <v>43617</v>
      </c>
      <c r="AA183" s="711"/>
      <c r="AB183" s="712"/>
      <c r="AC183" s="710">
        <v>43647</v>
      </c>
      <c r="AD183" s="711"/>
      <c r="AE183" s="712"/>
      <c r="AF183" s="710">
        <v>43678</v>
      </c>
      <c r="AG183" s="711"/>
      <c r="AH183" s="712"/>
      <c r="AI183" s="710">
        <v>43709</v>
      </c>
      <c r="AJ183" s="711"/>
      <c r="AK183" s="712"/>
      <c r="AL183" s="710">
        <v>43739</v>
      </c>
      <c r="AM183" s="711"/>
      <c r="AN183" s="712"/>
      <c r="AO183" s="710">
        <v>43770</v>
      </c>
      <c r="AP183" s="711"/>
      <c r="AQ183" s="712"/>
      <c r="AR183" s="710">
        <v>43800</v>
      </c>
      <c r="AS183" s="711"/>
      <c r="AT183" s="712"/>
    </row>
    <row r="184" spans="4:46" outlineLevel="2">
      <c r="D184" s="106" t="s">
        <v>7</v>
      </c>
      <c r="E184" s="60" t="s">
        <v>60</v>
      </c>
      <c r="F184" s="61" t="s">
        <v>61</v>
      </c>
      <c r="G184" s="62" t="s">
        <v>62</v>
      </c>
      <c r="H184" s="63" t="s">
        <v>73</v>
      </c>
      <c r="J184" s="106" t="s">
        <v>7</v>
      </c>
      <c r="K184" s="258" t="s">
        <v>60</v>
      </c>
      <c r="L184" s="259" t="s">
        <v>61</v>
      </c>
      <c r="M184" s="260" t="s">
        <v>62</v>
      </c>
      <c r="N184" s="258" t="s">
        <v>60</v>
      </c>
      <c r="O184" s="259" t="s">
        <v>61</v>
      </c>
      <c r="P184" s="259" t="s">
        <v>62</v>
      </c>
      <c r="Q184" s="258" t="s">
        <v>60</v>
      </c>
      <c r="R184" s="259" t="s">
        <v>61</v>
      </c>
      <c r="S184" s="260" t="s">
        <v>62</v>
      </c>
      <c r="T184" s="258" t="s">
        <v>60</v>
      </c>
      <c r="U184" s="259" t="s">
        <v>61</v>
      </c>
      <c r="V184" s="260" t="s">
        <v>62</v>
      </c>
      <c r="W184" s="258" t="s">
        <v>60</v>
      </c>
      <c r="X184" s="259" t="s">
        <v>61</v>
      </c>
      <c r="Y184" s="260" t="s">
        <v>62</v>
      </c>
      <c r="Z184" s="258" t="s">
        <v>60</v>
      </c>
      <c r="AA184" s="259" t="s">
        <v>61</v>
      </c>
      <c r="AB184" s="260" t="s">
        <v>62</v>
      </c>
      <c r="AC184" s="258" t="s">
        <v>60</v>
      </c>
      <c r="AD184" s="259" t="s">
        <v>61</v>
      </c>
      <c r="AE184" s="260" t="s">
        <v>62</v>
      </c>
      <c r="AF184" s="258" t="s">
        <v>60</v>
      </c>
      <c r="AG184" s="259" t="s">
        <v>61</v>
      </c>
      <c r="AH184" s="260" t="s">
        <v>62</v>
      </c>
      <c r="AI184" s="258" t="s">
        <v>60</v>
      </c>
      <c r="AJ184" s="259" t="s">
        <v>61</v>
      </c>
      <c r="AK184" s="260" t="s">
        <v>62</v>
      </c>
      <c r="AL184" s="258" t="s">
        <v>60</v>
      </c>
      <c r="AM184" s="259" t="s">
        <v>61</v>
      </c>
      <c r="AN184" s="260" t="s">
        <v>62</v>
      </c>
      <c r="AO184" s="258" t="s">
        <v>60</v>
      </c>
      <c r="AP184" s="259" t="s">
        <v>61</v>
      </c>
      <c r="AQ184" s="260" t="s">
        <v>62</v>
      </c>
      <c r="AR184" s="258" t="s">
        <v>60</v>
      </c>
      <c r="AS184" s="259" t="s">
        <v>61</v>
      </c>
      <c r="AT184" s="260" t="s">
        <v>62</v>
      </c>
    </row>
    <row r="185" spans="4:46" outlineLevel="2">
      <c r="D185" s="79" t="s">
        <v>8</v>
      </c>
      <c r="E185" s="82">
        <v>1617</v>
      </c>
      <c r="F185" s="80">
        <v>-2043.6100000000001</v>
      </c>
      <c r="G185" s="237">
        <v>-426.61000000000013</v>
      </c>
      <c r="H185" s="66">
        <v>4.0142828884859434E-2</v>
      </c>
      <c r="I185" s="107"/>
      <c r="J185" s="64" t="s">
        <v>8</v>
      </c>
      <c r="K185" s="235">
        <v>153</v>
      </c>
      <c r="L185" s="236">
        <v>-165.22</v>
      </c>
      <c r="M185" s="237">
        <v>-12.219999999999999</v>
      </c>
      <c r="N185" s="235">
        <v>153</v>
      </c>
      <c r="O185" s="236">
        <v>-115</v>
      </c>
      <c r="P185" s="237">
        <v>38</v>
      </c>
      <c r="Q185" s="235">
        <v>153</v>
      </c>
      <c r="R185" s="236">
        <v>-240.25</v>
      </c>
      <c r="S185" s="237">
        <v>-87.25</v>
      </c>
      <c r="T185" s="235">
        <v>153</v>
      </c>
      <c r="U185" s="236">
        <v>-124</v>
      </c>
      <c r="V185" s="237">
        <v>29</v>
      </c>
      <c r="W185" s="235">
        <v>149</v>
      </c>
      <c r="X185" s="236">
        <v>-73.16</v>
      </c>
      <c r="Y185" s="237">
        <v>75.84</v>
      </c>
      <c r="Z185" s="235">
        <v>149</v>
      </c>
      <c r="AA185" s="236">
        <v>-206</v>
      </c>
      <c r="AB185" s="236">
        <v>-57</v>
      </c>
      <c r="AC185" s="235">
        <v>151</v>
      </c>
      <c r="AD185" s="236">
        <v>-80</v>
      </c>
      <c r="AE185" s="237">
        <v>71</v>
      </c>
      <c r="AF185" s="235">
        <v>151</v>
      </c>
      <c r="AG185" s="236">
        <v>-219.36</v>
      </c>
      <c r="AH185" s="237">
        <v>-68.360000000000014</v>
      </c>
      <c r="AI185" s="235">
        <v>75</v>
      </c>
      <c r="AJ185" s="236">
        <v>-110</v>
      </c>
      <c r="AK185" s="236">
        <v>-35</v>
      </c>
      <c r="AL185" s="235">
        <v>160</v>
      </c>
      <c r="AM185" s="236">
        <v>-323.62</v>
      </c>
      <c r="AN185" s="237">
        <v>-163.62</v>
      </c>
      <c r="AO185" s="236">
        <v>95</v>
      </c>
      <c r="AP185" s="236">
        <v>-240</v>
      </c>
      <c r="AQ185" s="237">
        <v>-145</v>
      </c>
      <c r="AR185" s="236">
        <v>75</v>
      </c>
      <c r="AS185" s="236">
        <v>-73.64</v>
      </c>
      <c r="AT185" s="237">
        <v>1.3599999999999994</v>
      </c>
    </row>
    <row r="186" spans="4:46" outlineLevel="2">
      <c r="D186" s="18" t="s">
        <v>9</v>
      </c>
      <c r="E186" s="85">
        <v>818.19</v>
      </c>
      <c r="F186" s="84">
        <v>-712.29</v>
      </c>
      <c r="G186" s="242">
        <v>105.90000000000009</v>
      </c>
      <c r="H186" s="69">
        <v>1.3991581361608392E-2</v>
      </c>
      <c r="J186" s="67" t="s">
        <v>9</v>
      </c>
      <c r="K186" s="240">
        <v>75</v>
      </c>
      <c r="L186" s="241">
        <v>-71.290000000000006</v>
      </c>
      <c r="M186" s="242">
        <v>3.7099999999999937</v>
      </c>
      <c r="N186" s="240">
        <v>75</v>
      </c>
      <c r="O186" s="241">
        <v>-72</v>
      </c>
      <c r="P186" s="242">
        <v>3</v>
      </c>
      <c r="Q186" s="240">
        <v>75</v>
      </c>
      <c r="R186" s="241">
        <v>-65</v>
      </c>
      <c r="S186" s="242">
        <v>10</v>
      </c>
      <c r="T186" s="240">
        <v>68.19</v>
      </c>
      <c r="U186" s="241">
        <v>-75</v>
      </c>
      <c r="V186" s="242">
        <v>-6.8100000000000023</v>
      </c>
      <c r="W186" s="240">
        <v>75</v>
      </c>
      <c r="X186" s="241">
        <v>-72</v>
      </c>
      <c r="Y186" s="242">
        <v>3</v>
      </c>
      <c r="Z186" s="240">
        <v>75</v>
      </c>
      <c r="AA186" s="241">
        <v>-72</v>
      </c>
      <c r="AB186" s="241">
        <v>3</v>
      </c>
      <c r="AC186" s="240">
        <v>0</v>
      </c>
      <c r="AD186" s="241">
        <v>0</v>
      </c>
      <c r="AE186" s="242">
        <v>0</v>
      </c>
      <c r="AF186" s="240">
        <v>75</v>
      </c>
      <c r="AG186" s="241">
        <v>-74</v>
      </c>
      <c r="AH186" s="242">
        <v>1</v>
      </c>
      <c r="AI186" s="240">
        <v>75</v>
      </c>
      <c r="AJ186" s="241">
        <v>-70</v>
      </c>
      <c r="AK186" s="241">
        <v>5</v>
      </c>
      <c r="AL186" s="240">
        <v>75</v>
      </c>
      <c r="AM186" s="241">
        <v>-71</v>
      </c>
      <c r="AN186" s="242">
        <v>4</v>
      </c>
      <c r="AO186" s="241">
        <v>75</v>
      </c>
      <c r="AP186" s="241">
        <v>-70</v>
      </c>
      <c r="AQ186" s="242">
        <v>5</v>
      </c>
      <c r="AR186" s="241">
        <v>75</v>
      </c>
      <c r="AS186" s="241">
        <v>-150</v>
      </c>
      <c r="AT186" s="242">
        <v>-75</v>
      </c>
    </row>
    <row r="187" spans="4:46" outlineLevel="2">
      <c r="D187" s="18" t="s">
        <v>10</v>
      </c>
      <c r="E187" s="85">
        <v>365</v>
      </c>
      <c r="F187" s="84">
        <v>0</v>
      </c>
      <c r="G187" s="242">
        <v>365</v>
      </c>
      <c r="H187" s="69">
        <v>0</v>
      </c>
      <c r="J187" s="67" t="s">
        <v>10</v>
      </c>
      <c r="K187" s="240">
        <v>25</v>
      </c>
      <c r="L187" s="241">
        <v>0</v>
      </c>
      <c r="M187" s="242">
        <v>25</v>
      </c>
      <c r="N187" s="240">
        <v>25</v>
      </c>
      <c r="O187" s="241">
        <v>0</v>
      </c>
      <c r="P187" s="242">
        <v>25</v>
      </c>
      <c r="Q187" s="240">
        <v>25</v>
      </c>
      <c r="R187" s="241">
        <v>0</v>
      </c>
      <c r="S187" s="242">
        <v>25</v>
      </c>
      <c r="T187" s="240">
        <v>25</v>
      </c>
      <c r="U187" s="241">
        <v>0</v>
      </c>
      <c r="V187" s="242">
        <v>25</v>
      </c>
      <c r="W187" s="240">
        <v>40</v>
      </c>
      <c r="X187" s="241">
        <v>0</v>
      </c>
      <c r="Y187" s="242">
        <v>40</v>
      </c>
      <c r="Z187" s="240">
        <v>40</v>
      </c>
      <c r="AA187" s="241">
        <v>0</v>
      </c>
      <c r="AB187" s="241">
        <v>40</v>
      </c>
      <c r="AC187" s="240">
        <v>30</v>
      </c>
      <c r="AD187" s="241">
        <v>0</v>
      </c>
      <c r="AE187" s="242">
        <v>30</v>
      </c>
      <c r="AF187" s="240">
        <v>30</v>
      </c>
      <c r="AG187" s="241">
        <v>0</v>
      </c>
      <c r="AH187" s="242">
        <v>30</v>
      </c>
      <c r="AI187" s="240">
        <v>50</v>
      </c>
      <c r="AJ187" s="241">
        <v>0</v>
      </c>
      <c r="AK187" s="241">
        <v>50</v>
      </c>
      <c r="AL187" s="240">
        <v>0</v>
      </c>
      <c r="AM187" s="241">
        <v>0</v>
      </c>
      <c r="AN187" s="242">
        <v>0</v>
      </c>
      <c r="AO187" s="241">
        <v>25</v>
      </c>
      <c r="AP187" s="241">
        <v>0</v>
      </c>
      <c r="AQ187" s="242">
        <v>25</v>
      </c>
      <c r="AR187" s="241">
        <v>50</v>
      </c>
      <c r="AS187" s="241">
        <v>0</v>
      </c>
      <c r="AT187" s="242">
        <v>50</v>
      </c>
    </row>
    <row r="188" spans="4:46" outlineLevel="2">
      <c r="D188" s="18" t="s">
        <v>11</v>
      </c>
      <c r="E188" s="85">
        <v>629</v>
      </c>
      <c r="F188" s="84">
        <v>-317</v>
      </c>
      <c r="G188" s="242">
        <v>312</v>
      </c>
      <c r="H188" s="69">
        <v>6.226861659759172E-3</v>
      </c>
      <c r="J188" s="67" t="s">
        <v>11</v>
      </c>
      <c r="K188" s="240">
        <v>50</v>
      </c>
      <c r="L188" s="241">
        <v>0</v>
      </c>
      <c r="M188" s="242">
        <v>50</v>
      </c>
      <c r="N188" s="240">
        <v>50</v>
      </c>
      <c r="O188" s="241">
        <v>-50</v>
      </c>
      <c r="P188" s="242">
        <v>0</v>
      </c>
      <c r="Q188" s="240">
        <v>0</v>
      </c>
      <c r="R188" s="241">
        <v>0</v>
      </c>
      <c r="S188" s="242">
        <v>0</v>
      </c>
      <c r="T188" s="240">
        <v>50</v>
      </c>
      <c r="U188" s="241">
        <v>-131</v>
      </c>
      <c r="V188" s="242">
        <v>-81</v>
      </c>
      <c r="W188" s="240">
        <v>50</v>
      </c>
      <c r="X188" s="241">
        <v>0</v>
      </c>
      <c r="Y188" s="242">
        <v>50</v>
      </c>
      <c r="Z188" s="240">
        <v>50</v>
      </c>
      <c r="AA188" s="241">
        <v>0</v>
      </c>
      <c r="AB188" s="241">
        <v>50</v>
      </c>
      <c r="AC188" s="240">
        <v>30</v>
      </c>
      <c r="AD188" s="241">
        <v>0</v>
      </c>
      <c r="AE188" s="242">
        <v>30</v>
      </c>
      <c r="AF188" s="240">
        <v>30</v>
      </c>
      <c r="AG188" s="241">
        <v>0</v>
      </c>
      <c r="AH188" s="242">
        <v>30</v>
      </c>
      <c r="AI188" s="240">
        <v>50</v>
      </c>
      <c r="AJ188" s="241">
        <v>0</v>
      </c>
      <c r="AK188" s="241">
        <v>50</v>
      </c>
      <c r="AL188" s="240">
        <v>169</v>
      </c>
      <c r="AM188" s="241">
        <v>0</v>
      </c>
      <c r="AN188" s="242">
        <v>169</v>
      </c>
      <c r="AO188" s="241">
        <v>50</v>
      </c>
      <c r="AP188" s="241">
        <v>-136</v>
      </c>
      <c r="AQ188" s="242">
        <v>-86</v>
      </c>
      <c r="AR188" s="241">
        <v>50</v>
      </c>
      <c r="AS188" s="241">
        <v>0</v>
      </c>
      <c r="AT188" s="242">
        <v>50</v>
      </c>
    </row>
    <row r="189" spans="4:46" outlineLevel="2">
      <c r="D189" s="18" t="s">
        <v>75</v>
      </c>
      <c r="E189" s="85">
        <v>38</v>
      </c>
      <c r="F189" s="84">
        <v>0</v>
      </c>
      <c r="G189" s="242">
        <v>38</v>
      </c>
      <c r="H189" s="69">
        <v>0</v>
      </c>
      <c r="J189" s="67" t="s">
        <v>75</v>
      </c>
      <c r="K189" s="240">
        <v>0</v>
      </c>
      <c r="L189" s="241">
        <v>0</v>
      </c>
      <c r="M189" s="242">
        <v>0</v>
      </c>
      <c r="N189" s="240">
        <v>0</v>
      </c>
      <c r="O189" s="241">
        <v>0</v>
      </c>
      <c r="P189" s="242">
        <v>0</v>
      </c>
      <c r="Q189" s="240">
        <v>0</v>
      </c>
      <c r="R189" s="241">
        <v>0</v>
      </c>
      <c r="S189" s="242">
        <v>0</v>
      </c>
      <c r="T189" s="240">
        <v>0</v>
      </c>
      <c r="U189" s="241">
        <v>0</v>
      </c>
      <c r="V189" s="242">
        <v>0</v>
      </c>
      <c r="W189" s="240">
        <v>0</v>
      </c>
      <c r="X189" s="241">
        <v>0</v>
      </c>
      <c r="Y189" s="242">
        <v>0</v>
      </c>
      <c r="Z189" s="240">
        <v>0</v>
      </c>
      <c r="AA189" s="241">
        <v>0</v>
      </c>
      <c r="AB189" s="241">
        <v>0</v>
      </c>
      <c r="AC189" s="240">
        <v>0</v>
      </c>
      <c r="AD189" s="241">
        <v>0</v>
      </c>
      <c r="AE189" s="242">
        <v>0</v>
      </c>
      <c r="AF189" s="240">
        <v>0</v>
      </c>
      <c r="AG189" s="241">
        <v>0</v>
      </c>
      <c r="AH189" s="242">
        <v>0</v>
      </c>
      <c r="AI189" s="240">
        <v>0</v>
      </c>
      <c r="AJ189" s="241">
        <v>0</v>
      </c>
      <c r="AK189" s="241">
        <v>0</v>
      </c>
      <c r="AL189" s="240">
        <v>0</v>
      </c>
      <c r="AM189" s="241">
        <v>0</v>
      </c>
      <c r="AN189" s="242">
        <v>0</v>
      </c>
      <c r="AO189" s="241">
        <v>0</v>
      </c>
      <c r="AP189" s="241">
        <v>0</v>
      </c>
      <c r="AQ189" s="242">
        <v>0</v>
      </c>
      <c r="AR189" s="241">
        <v>38</v>
      </c>
      <c r="AS189" s="241">
        <v>0</v>
      </c>
      <c r="AT189" s="242">
        <v>38</v>
      </c>
    </row>
    <row r="190" spans="4:46" outlineLevel="2">
      <c r="D190" s="18" t="s">
        <v>13</v>
      </c>
      <c r="E190" s="85">
        <v>6198</v>
      </c>
      <c r="F190" s="84">
        <v>-8643.9500000000007</v>
      </c>
      <c r="G190" s="242">
        <v>-2445.9500000000007</v>
      </c>
      <c r="H190" s="69">
        <v>0.16979394587973279</v>
      </c>
      <c r="J190" s="67" t="s">
        <v>13</v>
      </c>
      <c r="K190" s="240">
        <v>500</v>
      </c>
      <c r="L190" s="241">
        <v>-634.05999999999995</v>
      </c>
      <c r="M190" s="242">
        <v>-134.05999999999995</v>
      </c>
      <c r="N190" s="240">
        <v>600</v>
      </c>
      <c r="O190" s="241">
        <v>-545</v>
      </c>
      <c r="P190" s="242">
        <v>55</v>
      </c>
      <c r="Q190" s="240">
        <v>300</v>
      </c>
      <c r="R190" s="241">
        <v>-773</v>
      </c>
      <c r="S190" s="242">
        <v>-473</v>
      </c>
      <c r="T190" s="240">
        <v>400</v>
      </c>
      <c r="U190" s="241">
        <v>-836</v>
      </c>
      <c r="V190" s="242">
        <v>-436</v>
      </c>
      <c r="W190" s="240">
        <v>450</v>
      </c>
      <c r="X190" s="241">
        <v>-274.74</v>
      </c>
      <c r="Y190" s="242">
        <v>175.26</v>
      </c>
      <c r="Z190" s="240">
        <v>800</v>
      </c>
      <c r="AA190" s="241">
        <v>-449.2</v>
      </c>
      <c r="AB190" s="241">
        <v>350.8</v>
      </c>
      <c r="AC190" s="240">
        <v>400</v>
      </c>
      <c r="AD190" s="241">
        <v>-485</v>
      </c>
      <c r="AE190" s="242">
        <v>-85</v>
      </c>
      <c r="AF190" s="240">
        <v>250</v>
      </c>
      <c r="AG190" s="241">
        <v>-1025</v>
      </c>
      <c r="AH190" s="242">
        <v>-775</v>
      </c>
      <c r="AI190" s="240">
        <v>500</v>
      </c>
      <c r="AJ190" s="241">
        <v>-1497.95</v>
      </c>
      <c r="AK190" s="241">
        <v>-997.95</v>
      </c>
      <c r="AL190" s="240">
        <v>850</v>
      </c>
      <c r="AM190" s="241">
        <v>-1221</v>
      </c>
      <c r="AN190" s="242">
        <v>-371</v>
      </c>
      <c r="AO190" s="241">
        <v>848</v>
      </c>
      <c r="AP190" s="241">
        <v>-975.67</v>
      </c>
      <c r="AQ190" s="242">
        <v>-127.66999999999996</v>
      </c>
      <c r="AR190" s="241">
        <v>300</v>
      </c>
      <c r="AS190" s="241">
        <v>-326</v>
      </c>
      <c r="AT190" s="242">
        <v>-26</v>
      </c>
    </row>
    <row r="191" spans="4:46" outlineLevel="2">
      <c r="D191" s="47" t="s">
        <v>14</v>
      </c>
      <c r="E191" s="85">
        <v>2625</v>
      </c>
      <c r="F191" s="84">
        <v>-3449.9700000000003</v>
      </c>
      <c r="G191" s="242">
        <v>-824.97000000000025</v>
      </c>
      <c r="H191" s="69">
        <v>6.7768094385865466E-2</v>
      </c>
      <c r="J191" s="70" t="s">
        <v>14</v>
      </c>
      <c r="K191" s="240">
        <v>400</v>
      </c>
      <c r="L191" s="241">
        <v>-458.44</v>
      </c>
      <c r="M191" s="242">
        <v>-58.44</v>
      </c>
      <c r="N191" s="240">
        <v>280</v>
      </c>
      <c r="O191" s="241">
        <v>-241</v>
      </c>
      <c r="P191" s="242">
        <v>39</v>
      </c>
      <c r="Q191" s="240">
        <v>370</v>
      </c>
      <c r="R191" s="241">
        <v>-185</v>
      </c>
      <c r="S191" s="242">
        <v>185</v>
      </c>
      <c r="T191" s="240">
        <v>300</v>
      </c>
      <c r="U191" s="241">
        <v>-344.53</v>
      </c>
      <c r="V191" s="242">
        <v>-44.529999999999973</v>
      </c>
      <c r="W191" s="240">
        <v>300</v>
      </c>
      <c r="X191" s="241">
        <v>-106</v>
      </c>
      <c r="Y191" s="242">
        <v>194</v>
      </c>
      <c r="Z191" s="240">
        <v>100</v>
      </c>
      <c r="AA191" s="241">
        <v>-84</v>
      </c>
      <c r="AB191" s="241">
        <v>16</v>
      </c>
      <c r="AC191" s="240">
        <v>250</v>
      </c>
      <c r="AD191" s="241">
        <v>-530</v>
      </c>
      <c r="AE191" s="242">
        <v>-280</v>
      </c>
      <c r="AF191" s="240">
        <v>75</v>
      </c>
      <c r="AG191" s="241">
        <v>-36</v>
      </c>
      <c r="AH191" s="242">
        <v>39</v>
      </c>
      <c r="AI191" s="240">
        <v>150</v>
      </c>
      <c r="AJ191" s="241">
        <v>-265</v>
      </c>
      <c r="AK191" s="241">
        <v>-115</v>
      </c>
      <c r="AL191" s="240">
        <v>200</v>
      </c>
      <c r="AM191" s="241">
        <v>-734</v>
      </c>
      <c r="AN191" s="242">
        <v>-534</v>
      </c>
      <c r="AO191" s="241">
        <v>466</v>
      </c>
      <c r="AP191" s="241">
        <v>-450</v>
      </c>
      <c r="AQ191" s="242">
        <v>16</v>
      </c>
      <c r="AR191" s="241">
        <v>100</v>
      </c>
      <c r="AS191" s="241">
        <v>-374</v>
      </c>
      <c r="AT191" s="242">
        <v>-274</v>
      </c>
    </row>
    <row r="192" spans="4:46" outlineLevel="2">
      <c r="D192" s="18" t="s">
        <v>15</v>
      </c>
      <c r="E192" s="85">
        <v>2708</v>
      </c>
      <c r="F192" s="84">
        <v>-2250.5700000000002</v>
      </c>
      <c r="G192" s="242">
        <v>457.42999999999984</v>
      </c>
      <c r="H192" s="69">
        <v>4.4208164181716719E-2</v>
      </c>
      <c r="J192" s="67" t="s">
        <v>15</v>
      </c>
      <c r="K192" s="240">
        <v>200</v>
      </c>
      <c r="L192" s="241">
        <v>-318.43</v>
      </c>
      <c r="M192" s="242">
        <v>-118.43</v>
      </c>
      <c r="N192" s="240">
        <v>250</v>
      </c>
      <c r="O192" s="241">
        <v>-191.2</v>
      </c>
      <c r="P192" s="242">
        <v>58.800000000000011</v>
      </c>
      <c r="Q192" s="240">
        <v>200</v>
      </c>
      <c r="R192" s="241">
        <v>-269</v>
      </c>
      <c r="S192" s="242">
        <v>-69</v>
      </c>
      <c r="T192" s="240">
        <v>200</v>
      </c>
      <c r="U192" s="241">
        <v>-219</v>
      </c>
      <c r="V192" s="242">
        <v>-19</v>
      </c>
      <c r="W192" s="240">
        <v>368</v>
      </c>
      <c r="X192" s="241">
        <v>-431</v>
      </c>
      <c r="Y192" s="242">
        <v>-63</v>
      </c>
      <c r="Z192" s="240">
        <v>200</v>
      </c>
      <c r="AA192" s="241">
        <v>-241.8</v>
      </c>
      <c r="AB192" s="241">
        <v>-41.800000000000011</v>
      </c>
      <c r="AC192" s="240">
        <v>220</v>
      </c>
      <c r="AD192" s="241">
        <v>-70</v>
      </c>
      <c r="AE192" s="242">
        <v>150</v>
      </c>
      <c r="AF192" s="240">
        <v>220</v>
      </c>
      <c r="AG192" s="241">
        <v>-193</v>
      </c>
      <c r="AH192" s="242">
        <v>27</v>
      </c>
      <c r="AI192" s="240">
        <v>200</v>
      </c>
      <c r="AJ192" s="241">
        <v>-102</v>
      </c>
      <c r="AK192" s="241">
        <v>98</v>
      </c>
      <c r="AL192" s="240">
        <v>250</v>
      </c>
      <c r="AM192" s="241">
        <v>-55.14</v>
      </c>
      <c r="AN192" s="242">
        <v>194.86</v>
      </c>
      <c r="AO192" s="241">
        <v>200</v>
      </c>
      <c r="AP192" s="241">
        <v>-160</v>
      </c>
      <c r="AQ192" s="242">
        <v>40</v>
      </c>
      <c r="AR192" s="241">
        <v>200</v>
      </c>
      <c r="AS192" s="241">
        <v>-143.36000000000001</v>
      </c>
      <c r="AT192" s="242">
        <v>56.639999999999986</v>
      </c>
    </row>
    <row r="193" spans="4:46" outlineLevel="2">
      <c r="D193" s="18" t="s">
        <v>16</v>
      </c>
      <c r="E193" s="85">
        <v>4036</v>
      </c>
      <c r="F193" s="84">
        <v>-2208.02</v>
      </c>
      <c r="G193" s="242">
        <v>1827.98</v>
      </c>
      <c r="H193" s="69">
        <v>4.3372350416345254E-2</v>
      </c>
      <c r="J193" s="67" t="s">
        <v>16</v>
      </c>
      <c r="K193" s="240">
        <v>400</v>
      </c>
      <c r="L193" s="241">
        <v>-350</v>
      </c>
      <c r="M193" s="242">
        <v>50</v>
      </c>
      <c r="N193" s="240">
        <v>100</v>
      </c>
      <c r="O193" s="241">
        <v>0</v>
      </c>
      <c r="P193" s="242">
        <v>100</v>
      </c>
      <c r="Q193" s="240">
        <v>350</v>
      </c>
      <c r="R193" s="241">
        <v>-178</v>
      </c>
      <c r="S193" s="242">
        <v>172</v>
      </c>
      <c r="T193" s="240">
        <v>0</v>
      </c>
      <c r="U193" s="241">
        <v>0</v>
      </c>
      <c r="V193" s="242">
        <v>0</v>
      </c>
      <c r="W193" s="240">
        <v>900</v>
      </c>
      <c r="X193" s="241">
        <v>-894.02</v>
      </c>
      <c r="Y193" s="242">
        <v>5.9800000000000182</v>
      </c>
      <c r="Z193" s="240">
        <v>50</v>
      </c>
      <c r="AA193" s="241">
        <v>0</v>
      </c>
      <c r="AB193" s="241">
        <v>50</v>
      </c>
      <c r="AC193" s="240">
        <v>200</v>
      </c>
      <c r="AD193" s="241">
        <v>-220</v>
      </c>
      <c r="AE193" s="242">
        <v>-20</v>
      </c>
      <c r="AF193" s="240">
        <v>400</v>
      </c>
      <c r="AG193" s="241">
        <v>-110</v>
      </c>
      <c r="AH193" s="242">
        <v>290</v>
      </c>
      <c r="AI193" s="240">
        <v>500</v>
      </c>
      <c r="AJ193" s="241">
        <v>-169</v>
      </c>
      <c r="AK193" s="241">
        <v>331</v>
      </c>
      <c r="AL193" s="240">
        <v>0</v>
      </c>
      <c r="AM193" s="241">
        <v>-287</v>
      </c>
      <c r="AN193" s="242">
        <v>-287</v>
      </c>
      <c r="AO193" s="241">
        <v>986</v>
      </c>
      <c r="AP193" s="241">
        <v>0</v>
      </c>
      <c r="AQ193" s="242">
        <v>986</v>
      </c>
      <c r="AR193" s="241">
        <v>150</v>
      </c>
      <c r="AS193" s="241">
        <v>-240</v>
      </c>
      <c r="AT193" s="242">
        <v>-90</v>
      </c>
    </row>
    <row r="194" spans="4:46" outlineLevel="2">
      <c r="D194" s="18" t="s">
        <v>17</v>
      </c>
      <c r="E194" s="85">
        <v>2500</v>
      </c>
      <c r="F194" s="84">
        <v>-4180.71</v>
      </c>
      <c r="G194" s="242">
        <v>-1680.71</v>
      </c>
      <c r="H194" s="69">
        <v>8.2122090881929857E-2</v>
      </c>
      <c r="J194" s="67" t="s">
        <v>17</v>
      </c>
      <c r="K194" s="240">
        <v>250</v>
      </c>
      <c r="L194" s="241">
        <v>-348.58</v>
      </c>
      <c r="M194" s="242">
        <v>-98.579999999999984</v>
      </c>
      <c r="N194" s="240">
        <v>150</v>
      </c>
      <c r="O194" s="241">
        <v>-367</v>
      </c>
      <c r="P194" s="242">
        <v>-217</v>
      </c>
      <c r="Q194" s="240">
        <v>100</v>
      </c>
      <c r="R194" s="241">
        <v>-257</v>
      </c>
      <c r="S194" s="242">
        <v>-157</v>
      </c>
      <c r="T194" s="240">
        <v>400</v>
      </c>
      <c r="U194" s="241">
        <v>-490</v>
      </c>
      <c r="V194" s="242">
        <v>-90</v>
      </c>
      <c r="W194" s="240">
        <v>300</v>
      </c>
      <c r="X194" s="241">
        <v>-618.13</v>
      </c>
      <c r="Y194" s="242">
        <v>-318.13</v>
      </c>
      <c r="Z194" s="240">
        <v>150</v>
      </c>
      <c r="AA194" s="241">
        <v>-434</v>
      </c>
      <c r="AB194" s="241">
        <v>-284</v>
      </c>
      <c r="AC194" s="240">
        <v>400</v>
      </c>
      <c r="AD194" s="241">
        <v>-245</v>
      </c>
      <c r="AE194" s="242">
        <v>155</v>
      </c>
      <c r="AF194" s="240">
        <v>150</v>
      </c>
      <c r="AG194" s="241">
        <v>-92</v>
      </c>
      <c r="AH194" s="242">
        <v>58</v>
      </c>
      <c r="AI194" s="240">
        <v>150</v>
      </c>
      <c r="AJ194" s="241">
        <v>-224</v>
      </c>
      <c r="AK194" s="241">
        <v>-74</v>
      </c>
      <c r="AL194" s="240">
        <v>150</v>
      </c>
      <c r="AM194" s="241">
        <v>-495</v>
      </c>
      <c r="AN194" s="242">
        <v>-345</v>
      </c>
      <c r="AO194" s="241">
        <v>150</v>
      </c>
      <c r="AP194" s="241">
        <v>-618</v>
      </c>
      <c r="AQ194" s="242">
        <v>-468</v>
      </c>
      <c r="AR194" s="241">
        <v>150</v>
      </c>
      <c r="AS194" s="241">
        <v>-525.34</v>
      </c>
      <c r="AT194" s="242">
        <v>-375.34000000000003</v>
      </c>
    </row>
    <row r="195" spans="4:46" outlineLevel="2">
      <c r="D195" s="18" t="s">
        <v>18</v>
      </c>
      <c r="E195" s="85">
        <v>712</v>
      </c>
      <c r="F195" s="84">
        <v>-1004.78</v>
      </c>
      <c r="G195" s="242">
        <v>-292.77999999999997</v>
      </c>
      <c r="H195" s="69">
        <v>1.9736990720797539E-2</v>
      </c>
      <c r="J195" s="67" t="s">
        <v>18</v>
      </c>
      <c r="K195" s="240">
        <v>79</v>
      </c>
      <c r="L195" s="241">
        <v>-111.78</v>
      </c>
      <c r="M195" s="242">
        <v>-32.78</v>
      </c>
      <c r="N195" s="240">
        <v>86</v>
      </c>
      <c r="O195" s="241">
        <v>-130</v>
      </c>
      <c r="P195" s="242">
        <v>-44</v>
      </c>
      <c r="Q195" s="240">
        <v>119</v>
      </c>
      <c r="R195" s="241">
        <v>-90</v>
      </c>
      <c r="S195" s="242">
        <v>29</v>
      </c>
      <c r="T195" s="240">
        <v>119</v>
      </c>
      <c r="U195" s="241">
        <v>-122</v>
      </c>
      <c r="V195" s="242">
        <v>-3</v>
      </c>
      <c r="W195" s="240">
        <v>119</v>
      </c>
      <c r="X195" s="241">
        <v>-127</v>
      </c>
      <c r="Y195" s="242">
        <v>-8</v>
      </c>
      <c r="Z195" s="240">
        <v>30</v>
      </c>
      <c r="AA195" s="241">
        <v>-92</v>
      </c>
      <c r="AB195" s="241">
        <v>-62</v>
      </c>
      <c r="AC195" s="240">
        <v>40</v>
      </c>
      <c r="AD195" s="241">
        <v>0</v>
      </c>
      <c r="AE195" s="242">
        <v>40</v>
      </c>
      <c r="AF195" s="240">
        <v>0</v>
      </c>
      <c r="AG195" s="241">
        <v>-240</v>
      </c>
      <c r="AH195" s="242">
        <v>-240</v>
      </c>
      <c r="AI195" s="240">
        <v>30</v>
      </c>
      <c r="AJ195" s="241">
        <v>-42</v>
      </c>
      <c r="AK195" s="241">
        <v>-12</v>
      </c>
      <c r="AL195" s="240">
        <v>30</v>
      </c>
      <c r="AM195" s="241">
        <v>0</v>
      </c>
      <c r="AN195" s="242">
        <v>30</v>
      </c>
      <c r="AO195" s="241">
        <v>30</v>
      </c>
      <c r="AP195" s="241">
        <v>-50</v>
      </c>
      <c r="AQ195" s="242">
        <v>-20</v>
      </c>
      <c r="AR195" s="241">
        <v>30</v>
      </c>
      <c r="AS195" s="241">
        <v>-131</v>
      </c>
      <c r="AT195" s="242">
        <v>-101</v>
      </c>
    </row>
    <row r="196" spans="4:46" outlineLevel="2">
      <c r="D196" s="18" t="s">
        <v>19</v>
      </c>
      <c r="E196" s="85">
        <v>0</v>
      </c>
      <c r="F196" s="84">
        <v>0</v>
      </c>
      <c r="G196" s="242">
        <v>0</v>
      </c>
      <c r="H196" s="69">
        <v>0</v>
      </c>
      <c r="J196" s="67" t="s">
        <v>19</v>
      </c>
      <c r="K196" s="240">
        <v>0</v>
      </c>
      <c r="L196" s="241">
        <v>0</v>
      </c>
      <c r="M196" s="242">
        <v>0</v>
      </c>
      <c r="N196" s="240">
        <v>0</v>
      </c>
      <c r="O196" s="241">
        <v>0</v>
      </c>
      <c r="P196" s="242">
        <v>0</v>
      </c>
      <c r="Q196" s="240">
        <v>0</v>
      </c>
      <c r="R196" s="241">
        <v>0</v>
      </c>
      <c r="S196" s="242">
        <v>0</v>
      </c>
      <c r="T196" s="240">
        <v>0</v>
      </c>
      <c r="U196" s="241">
        <v>0</v>
      </c>
      <c r="V196" s="242">
        <v>0</v>
      </c>
      <c r="W196" s="240">
        <v>0</v>
      </c>
      <c r="X196" s="241">
        <v>0</v>
      </c>
      <c r="Y196" s="242">
        <v>0</v>
      </c>
      <c r="Z196" s="240">
        <v>0</v>
      </c>
      <c r="AA196" s="241">
        <v>0</v>
      </c>
      <c r="AB196" s="241">
        <v>0</v>
      </c>
      <c r="AC196" s="240">
        <v>0</v>
      </c>
      <c r="AD196" s="241">
        <v>0</v>
      </c>
      <c r="AE196" s="242">
        <v>0</v>
      </c>
      <c r="AF196" s="240">
        <v>0</v>
      </c>
      <c r="AG196" s="241">
        <v>0</v>
      </c>
      <c r="AH196" s="242">
        <v>0</v>
      </c>
      <c r="AI196" s="240">
        <v>0</v>
      </c>
      <c r="AJ196" s="241">
        <v>0</v>
      </c>
      <c r="AK196" s="241">
        <v>0</v>
      </c>
      <c r="AL196" s="240">
        <v>0</v>
      </c>
      <c r="AM196" s="241">
        <v>0</v>
      </c>
      <c r="AN196" s="242">
        <v>0</v>
      </c>
      <c r="AO196" s="241">
        <v>0</v>
      </c>
      <c r="AP196" s="241">
        <v>0</v>
      </c>
      <c r="AQ196" s="242">
        <v>0</v>
      </c>
      <c r="AR196" s="241">
        <v>0</v>
      </c>
      <c r="AS196" s="241">
        <v>0</v>
      </c>
      <c r="AT196" s="242">
        <v>0</v>
      </c>
    </row>
    <row r="197" spans="4:46" outlineLevel="2">
      <c r="D197" s="18" t="s">
        <v>20</v>
      </c>
      <c r="E197" s="85">
        <v>4670</v>
      </c>
      <c r="F197" s="84">
        <v>-6635.42</v>
      </c>
      <c r="G197" s="242">
        <v>-1965.42</v>
      </c>
      <c r="H197" s="69">
        <v>0.13034019682775774</v>
      </c>
      <c r="J197" s="67" t="s">
        <v>20</v>
      </c>
      <c r="K197" s="240">
        <v>500</v>
      </c>
      <c r="L197" s="241">
        <v>-686.05</v>
      </c>
      <c r="M197" s="242">
        <v>-186.04999999999995</v>
      </c>
      <c r="N197" s="240">
        <v>100</v>
      </c>
      <c r="O197" s="241">
        <v>-407.51</v>
      </c>
      <c r="P197" s="242">
        <v>-307.51</v>
      </c>
      <c r="Q197" s="240">
        <v>450</v>
      </c>
      <c r="R197" s="241">
        <v>-476.88</v>
      </c>
      <c r="S197" s="242">
        <v>-26.879999999999995</v>
      </c>
      <c r="T197" s="240">
        <v>100</v>
      </c>
      <c r="U197" s="241">
        <v>-578.47</v>
      </c>
      <c r="V197" s="242">
        <v>-478.47</v>
      </c>
      <c r="W197" s="240">
        <v>150</v>
      </c>
      <c r="X197" s="241">
        <v>-482.25</v>
      </c>
      <c r="Y197" s="242">
        <v>-332.25</v>
      </c>
      <c r="Z197" s="240">
        <v>600</v>
      </c>
      <c r="AA197" s="241">
        <v>-1161.71</v>
      </c>
      <c r="AB197" s="241">
        <v>-561.71</v>
      </c>
      <c r="AC197" s="240">
        <v>500</v>
      </c>
      <c r="AD197" s="241">
        <v>-200</v>
      </c>
      <c r="AE197" s="242">
        <v>300</v>
      </c>
      <c r="AF197" s="240">
        <v>70</v>
      </c>
      <c r="AG197" s="241">
        <v>-487</v>
      </c>
      <c r="AH197" s="242">
        <v>-417</v>
      </c>
      <c r="AI197" s="240">
        <v>450</v>
      </c>
      <c r="AJ197" s="241">
        <v>-365</v>
      </c>
      <c r="AK197" s="241">
        <v>85</v>
      </c>
      <c r="AL197" s="240">
        <v>1500</v>
      </c>
      <c r="AM197" s="241">
        <v>-1472.55</v>
      </c>
      <c r="AN197" s="242">
        <v>27.450000000000045</v>
      </c>
      <c r="AO197" s="241">
        <v>200</v>
      </c>
      <c r="AP197" s="241">
        <v>-586</v>
      </c>
      <c r="AQ197" s="242">
        <v>-386</v>
      </c>
      <c r="AR197" s="241">
        <v>600</v>
      </c>
      <c r="AS197" s="241">
        <v>-636.66</v>
      </c>
      <c r="AT197" s="242">
        <v>-36.659999999999968</v>
      </c>
    </row>
    <row r="198" spans="4:46" outlineLevel="2">
      <c r="D198" s="18" t="s">
        <v>21</v>
      </c>
      <c r="E198" s="85">
        <v>1530</v>
      </c>
      <c r="F198" s="84">
        <v>-1394.6399999999999</v>
      </c>
      <c r="G198" s="242">
        <v>135.36000000000013</v>
      </c>
      <c r="H198" s="69">
        <v>2.7395048407465396E-2</v>
      </c>
      <c r="J198" s="67" t="s">
        <v>21</v>
      </c>
      <c r="K198" s="240">
        <v>130</v>
      </c>
      <c r="L198" s="241">
        <v>-138</v>
      </c>
      <c r="M198" s="242">
        <v>-8</v>
      </c>
      <c r="N198" s="240">
        <v>130</v>
      </c>
      <c r="O198" s="241">
        <v>-141</v>
      </c>
      <c r="P198" s="242">
        <v>-11</v>
      </c>
      <c r="Q198" s="240">
        <v>130</v>
      </c>
      <c r="R198" s="241">
        <v>-135</v>
      </c>
      <c r="S198" s="242">
        <v>-5</v>
      </c>
      <c r="T198" s="240">
        <v>130</v>
      </c>
      <c r="U198" s="241">
        <v>-188</v>
      </c>
      <c r="V198" s="242">
        <v>-58</v>
      </c>
      <c r="W198" s="240">
        <v>150</v>
      </c>
      <c r="X198" s="241">
        <v>-100</v>
      </c>
      <c r="Y198" s="242">
        <v>50</v>
      </c>
      <c r="Z198" s="240">
        <v>100</v>
      </c>
      <c r="AA198" s="241">
        <v>-163</v>
      </c>
      <c r="AB198" s="241">
        <v>-63</v>
      </c>
      <c r="AC198" s="240">
        <v>200</v>
      </c>
      <c r="AD198" s="241">
        <v>-100</v>
      </c>
      <c r="AE198" s="242">
        <v>100</v>
      </c>
      <c r="AF198" s="240">
        <v>160</v>
      </c>
      <c r="AG198" s="241">
        <v>-129.63999999999999</v>
      </c>
      <c r="AH198" s="242">
        <v>30.360000000000014</v>
      </c>
      <c r="AI198" s="240">
        <v>100</v>
      </c>
      <c r="AJ198" s="241">
        <v>-100</v>
      </c>
      <c r="AK198" s="241">
        <v>0</v>
      </c>
      <c r="AL198" s="240">
        <v>100</v>
      </c>
      <c r="AM198" s="241">
        <v>-100</v>
      </c>
      <c r="AN198" s="242">
        <v>0</v>
      </c>
      <c r="AO198" s="241">
        <v>100</v>
      </c>
      <c r="AP198" s="241">
        <v>-110</v>
      </c>
      <c r="AQ198" s="242">
        <v>-10</v>
      </c>
      <c r="AR198" s="241">
        <v>100</v>
      </c>
      <c r="AS198" s="241">
        <v>-148</v>
      </c>
      <c r="AT198" s="242">
        <v>-48</v>
      </c>
    </row>
    <row r="199" spans="4:46" outlineLevel="2">
      <c r="D199" s="18" t="s">
        <v>22</v>
      </c>
      <c r="E199" s="85">
        <v>12626.56</v>
      </c>
      <c r="F199" s="84">
        <v>-8420.18</v>
      </c>
      <c r="G199" s="242">
        <v>4206.3799999999992</v>
      </c>
      <c r="H199" s="69">
        <v>0.16539841012703779</v>
      </c>
      <c r="J199" s="67" t="s">
        <v>22</v>
      </c>
      <c r="K199" s="240">
        <v>1110.56</v>
      </c>
      <c r="L199" s="241">
        <v>-1110.56</v>
      </c>
      <c r="M199" s="242">
        <v>0</v>
      </c>
      <c r="N199" s="240">
        <v>1076</v>
      </c>
      <c r="O199" s="241">
        <v>-1092</v>
      </c>
      <c r="P199" s="242">
        <v>-16</v>
      </c>
      <c r="Q199" s="240">
        <v>925</v>
      </c>
      <c r="R199" s="241">
        <v>-1076</v>
      </c>
      <c r="S199" s="242">
        <v>-151</v>
      </c>
      <c r="T199" s="240">
        <v>1100</v>
      </c>
      <c r="U199" s="241">
        <v>-1184</v>
      </c>
      <c r="V199" s="242">
        <v>-84</v>
      </c>
      <c r="W199" s="240">
        <v>950</v>
      </c>
      <c r="X199" s="241">
        <v>-31</v>
      </c>
      <c r="Y199" s="242">
        <v>919</v>
      </c>
      <c r="Z199" s="240">
        <v>785</v>
      </c>
      <c r="AA199" s="241">
        <v>-86</v>
      </c>
      <c r="AB199" s="241">
        <v>699</v>
      </c>
      <c r="AC199" s="240">
        <v>950</v>
      </c>
      <c r="AD199" s="241">
        <v>0</v>
      </c>
      <c r="AE199" s="242">
        <v>950</v>
      </c>
      <c r="AF199" s="240">
        <v>975</v>
      </c>
      <c r="AG199" s="241">
        <v>-760</v>
      </c>
      <c r="AH199" s="242">
        <v>215</v>
      </c>
      <c r="AI199" s="240">
        <v>975</v>
      </c>
      <c r="AJ199" s="241">
        <v>0</v>
      </c>
      <c r="AK199" s="241">
        <v>975</v>
      </c>
      <c r="AL199" s="240">
        <v>1655</v>
      </c>
      <c r="AM199" s="241">
        <v>-1683.47</v>
      </c>
      <c r="AN199" s="242">
        <v>-28.470000000000027</v>
      </c>
      <c r="AO199" s="241">
        <v>1365</v>
      </c>
      <c r="AP199" s="241">
        <v>-1397.15</v>
      </c>
      <c r="AQ199" s="242">
        <v>-32.150000000000091</v>
      </c>
      <c r="AR199" s="241">
        <v>1365</v>
      </c>
      <c r="AS199" s="241">
        <v>-1497</v>
      </c>
      <c r="AT199" s="242">
        <v>-132</v>
      </c>
    </row>
    <row r="200" spans="4:46" outlineLevel="2">
      <c r="D200" s="18" t="s">
        <v>23</v>
      </c>
      <c r="E200" s="85">
        <v>8807.2000000000007</v>
      </c>
      <c r="F200" s="84">
        <v>-6342.14</v>
      </c>
      <c r="G200" s="242">
        <v>2465.0600000000004</v>
      </c>
      <c r="H200" s="69">
        <v>0.12457926942216099</v>
      </c>
      <c r="J200" s="67" t="s">
        <v>23</v>
      </c>
      <c r="K200" s="240">
        <v>500</v>
      </c>
      <c r="L200" s="241">
        <v>-248</v>
      </c>
      <c r="M200" s="242">
        <v>252</v>
      </c>
      <c r="N200" s="240">
        <v>1600</v>
      </c>
      <c r="O200" s="241">
        <v>-1598.49</v>
      </c>
      <c r="P200" s="242">
        <v>1.5099999999999909</v>
      </c>
      <c r="Q200" s="240">
        <v>600</v>
      </c>
      <c r="R200" s="241">
        <v>0</v>
      </c>
      <c r="S200" s="242">
        <v>600</v>
      </c>
      <c r="T200" s="240">
        <v>0</v>
      </c>
      <c r="U200" s="241">
        <v>0</v>
      </c>
      <c r="V200" s="242">
        <v>0</v>
      </c>
      <c r="W200" s="240">
        <v>1381</v>
      </c>
      <c r="X200" s="241">
        <v>-1538.65</v>
      </c>
      <c r="Y200" s="242">
        <v>-157.65000000000009</v>
      </c>
      <c r="Z200" s="240">
        <v>176.2</v>
      </c>
      <c r="AA200" s="241">
        <v>-258</v>
      </c>
      <c r="AB200" s="241">
        <v>-81.800000000000011</v>
      </c>
      <c r="AC200" s="240">
        <v>100</v>
      </c>
      <c r="AD200" s="241">
        <v>-968</v>
      </c>
      <c r="AE200" s="242">
        <v>-868</v>
      </c>
      <c r="AF200" s="240">
        <v>200</v>
      </c>
      <c r="AG200" s="241">
        <v>-200</v>
      </c>
      <c r="AH200" s="242">
        <v>0</v>
      </c>
      <c r="AI200" s="240">
        <v>1100</v>
      </c>
      <c r="AJ200" s="241">
        <v>-400</v>
      </c>
      <c r="AK200" s="241">
        <v>700</v>
      </c>
      <c r="AL200" s="240">
        <v>750</v>
      </c>
      <c r="AM200" s="241">
        <v>-631</v>
      </c>
      <c r="AN200" s="242">
        <v>119</v>
      </c>
      <c r="AO200" s="241">
        <v>500</v>
      </c>
      <c r="AP200" s="241">
        <v>-500</v>
      </c>
      <c r="AQ200" s="242">
        <v>0</v>
      </c>
      <c r="AR200" s="241">
        <v>300</v>
      </c>
      <c r="AS200" s="241">
        <v>-621.28</v>
      </c>
      <c r="AT200" s="242">
        <v>-321.27999999999997</v>
      </c>
    </row>
    <row r="201" spans="4:46" outlineLevel="2">
      <c r="D201" s="18" t="s">
        <v>24</v>
      </c>
      <c r="E201" s="85">
        <v>3723</v>
      </c>
      <c r="F201" s="84">
        <v>-1932.68</v>
      </c>
      <c r="G201" s="242">
        <v>1790.32</v>
      </c>
      <c r="H201" s="69">
        <v>3.7963820165878098E-2</v>
      </c>
      <c r="J201" s="67" t="s">
        <v>24</v>
      </c>
      <c r="K201" s="240">
        <v>100</v>
      </c>
      <c r="L201" s="241">
        <v>0</v>
      </c>
      <c r="M201" s="242">
        <v>100</v>
      </c>
      <c r="N201" s="240">
        <v>10</v>
      </c>
      <c r="O201" s="241">
        <v>0</v>
      </c>
      <c r="P201" s="242">
        <v>10</v>
      </c>
      <c r="Q201" s="240">
        <v>70</v>
      </c>
      <c r="R201" s="241">
        <v>-25</v>
      </c>
      <c r="S201" s="242">
        <v>45</v>
      </c>
      <c r="T201" s="240">
        <v>100</v>
      </c>
      <c r="U201" s="241">
        <v>0</v>
      </c>
      <c r="V201" s="242">
        <v>100</v>
      </c>
      <c r="W201" s="240">
        <v>733</v>
      </c>
      <c r="X201" s="241">
        <v>-604.82000000000005</v>
      </c>
      <c r="Y201" s="242">
        <v>128.17999999999995</v>
      </c>
      <c r="Z201" s="240">
        <v>1200</v>
      </c>
      <c r="AA201" s="241">
        <v>0</v>
      </c>
      <c r="AB201" s="241">
        <v>1200</v>
      </c>
      <c r="AC201" s="240">
        <v>100</v>
      </c>
      <c r="AD201" s="241">
        <v>-968</v>
      </c>
      <c r="AE201" s="242">
        <v>-868</v>
      </c>
      <c r="AF201" s="240">
        <v>100</v>
      </c>
      <c r="AG201" s="241">
        <v>-25.86</v>
      </c>
      <c r="AH201" s="242">
        <v>74.14</v>
      </c>
      <c r="AI201" s="240">
        <v>400</v>
      </c>
      <c r="AJ201" s="241">
        <v>-309</v>
      </c>
      <c r="AK201" s="241">
        <v>91</v>
      </c>
      <c r="AL201" s="240">
        <v>100</v>
      </c>
      <c r="AM201" s="241">
        <v>0</v>
      </c>
      <c r="AN201" s="242">
        <v>100</v>
      </c>
      <c r="AO201" s="241">
        <v>710</v>
      </c>
      <c r="AP201" s="241">
        <v>-54.11</v>
      </c>
      <c r="AQ201" s="242">
        <v>655.89</v>
      </c>
      <c r="AR201" s="241">
        <v>500</v>
      </c>
      <c r="AS201" s="241">
        <v>-540</v>
      </c>
      <c r="AT201" s="242">
        <v>-40</v>
      </c>
    </row>
    <row r="202" spans="4:46" outlineLevel="2">
      <c r="D202" s="18" t="s">
        <v>25</v>
      </c>
      <c r="E202" s="85">
        <v>659</v>
      </c>
      <c r="F202" s="84">
        <v>-1234.51</v>
      </c>
      <c r="G202" s="242">
        <v>-575.51</v>
      </c>
      <c r="H202" s="69">
        <v>2.4249599329934684E-2</v>
      </c>
      <c r="J202" s="67" t="s">
        <v>25</v>
      </c>
      <c r="K202" s="240">
        <v>40</v>
      </c>
      <c r="L202" s="241">
        <v>-37.51</v>
      </c>
      <c r="M202" s="242">
        <v>2.490000000000002</v>
      </c>
      <c r="N202" s="240">
        <v>10</v>
      </c>
      <c r="O202" s="241">
        <v>0</v>
      </c>
      <c r="P202" s="242">
        <v>10</v>
      </c>
      <c r="Q202" s="240">
        <v>40</v>
      </c>
      <c r="R202" s="241">
        <v>-27</v>
      </c>
      <c r="S202" s="242">
        <v>13</v>
      </c>
      <c r="T202" s="240">
        <v>50</v>
      </c>
      <c r="U202" s="241">
        <v>0</v>
      </c>
      <c r="V202" s="242">
        <v>50</v>
      </c>
      <c r="W202" s="240"/>
      <c r="X202" s="241"/>
      <c r="Y202" s="242"/>
      <c r="Z202" s="240">
        <v>0</v>
      </c>
      <c r="AA202" s="241">
        <v>0</v>
      </c>
      <c r="AB202" s="241">
        <v>0</v>
      </c>
      <c r="AC202" s="240">
        <v>100</v>
      </c>
      <c r="AD202" s="241">
        <v>-968</v>
      </c>
      <c r="AE202" s="242">
        <v>-868</v>
      </c>
      <c r="AF202" s="240">
        <v>119</v>
      </c>
      <c r="AG202" s="241">
        <v>-202</v>
      </c>
      <c r="AH202" s="242">
        <v>-83</v>
      </c>
      <c r="AI202" s="240">
        <v>100</v>
      </c>
      <c r="AJ202" s="241">
        <v>0</v>
      </c>
      <c r="AK202" s="241">
        <v>100</v>
      </c>
      <c r="AL202" s="240">
        <v>100</v>
      </c>
      <c r="AM202" s="241">
        <v>0</v>
      </c>
      <c r="AN202" s="242">
        <v>100</v>
      </c>
      <c r="AO202" s="241">
        <v>0</v>
      </c>
      <c r="AP202" s="241">
        <v>0</v>
      </c>
      <c r="AQ202" s="242">
        <v>0</v>
      </c>
      <c r="AR202" s="241">
        <v>100</v>
      </c>
      <c r="AS202" s="241">
        <v>0</v>
      </c>
      <c r="AT202" s="242">
        <v>100</v>
      </c>
    </row>
    <row r="203" spans="4:46" ht="13.5" outlineLevel="2" thickBot="1">
      <c r="D203" s="30" t="s">
        <v>27</v>
      </c>
      <c r="E203" s="85">
        <v>1981</v>
      </c>
      <c r="F203" s="84">
        <v>-138</v>
      </c>
      <c r="G203" s="242"/>
      <c r="H203" s="71">
        <v>2.7107473471506805E-3</v>
      </c>
      <c r="I203" s="48"/>
      <c r="J203" s="88" t="s">
        <v>27</v>
      </c>
      <c r="K203" s="245">
        <v>100</v>
      </c>
      <c r="L203" s="246">
        <v>0</v>
      </c>
      <c r="M203" s="247">
        <v>100</v>
      </c>
      <c r="N203" s="245"/>
      <c r="O203" s="246"/>
      <c r="P203" s="247"/>
      <c r="Q203" s="245"/>
      <c r="R203" s="246"/>
      <c r="S203" s="247"/>
      <c r="T203" s="245"/>
      <c r="U203" s="246"/>
      <c r="V203" s="247"/>
      <c r="W203" s="245"/>
      <c r="X203" s="246"/>
      <c r="Y203" s="247"/>
      <c r="Z203" s="245"/>
      <c r="AA203" s="246"/>
      <c r="AB203" s="246"/>
      <c r="AC203" s="245"/>
      <c r="AD203" s="246"/>
      <c r="AE203" s="247"/>
      <c r="AF203" s="240">
        <v>1851</v>
      </c>
      <c r="AG203" s="241">
        <v>0</v>
      </c>
      <c r="AH203" s="242">
        <v>1851</v>
      </c>
      <c r="AI203" s="245">
        <v>0</v>
      </c>
      <c r="AJ203" s="246">
        <v>0</v>
      </c>
      <c r="AK203" s="246">
        <v>0</v>
      </c>
      <c r="AL203" s="245">
        <v>30</v>
      </c>
      <c r="AM203" s="246">
        <v>-138</v>
      </c>
      <c r="AN203" s="247">
        <v>0</v>
      </c>
      <c r="AO203" s="246">
        <v>0</v>
      </c>
      <c r="AP203" s="246">
        <v>0</v>
      </c>
      <c r="AQ203" s="247">
        <v>0</v>
      </c>
      <c r="AR203" s="246">
        <v>1900</v>
      </c>
      <c r="AS203" s="246">
        <v>-2079</v>
      </c>
      <c r="AT203" s="247">
        <v>-179</v>
      </c>
    </row>
    <row r="204" spans="4:46" ht="13.5" outlineLevel="2" thickBot="1">
      <c r="D204" s="75" t="s">
        <v>29</v>
      </c>
      <c r="E204" s="271">
        <v>56242.95</v>
      </c>
      <c r="F204" s="272">
        <v>-50908.47</v>
      </c>
      <c r="G204" s="273">
        <v>3491.4799999999987</v>
      </c>
      <c r="J204" s="75" t="s">
        <v>29</v>
      </c>
      <c r="K204" s="89">
        <v>4612.5599999999995</v>
      </c>
      <c r="L204" s="87">
        <v>-4677.92</v>
      </c>
      <c r="M204" s="90">
        <v>-65.3599999999999</v>
      </c>
      <c r="N204" s="89">
        <v>4695</v>
      </c>
      <c r="O204" s="87">
        <v>-4950.2</v>
      </c>
      <c r="P204" s="90">
        <v>-255.2</v>
      </c>
      <c r="Q204" s="87">
        <v>3907</v>
      </c>
      <c r="R204" s="87">
        <v>-3797.13</v>
      </c>
      <c r="S204" s="90">
        <v>109.87</v>
      </c>
      <c r="T204" s="89">
        <v>3195.19</v>
      </c>
      <c r="U204" s="87">
        <v>-4292</v>
      </c>
      <c r="V204" s="90">
        <v>-1096.81</v>
      </c>
      <c r="W204" s="89">
        <v>6115</v>
      </c>
      <c r="X204" s="87">
        <v>-5352.77</v>
      </c>
      <c r="Y204" s="90">
        <v>762.2299999999999</v>
      </c>
      <c r="Z204" s="89">
        <v>4505.2</v>
      </c>
      <c r="AA204" s="87">
        <v>-3247.71</v>
      </c>
      <c r="AB204" s="90">
        <v>1257.49</v>
      </c>
      <c r="AC204" s="89">
        <v>3671</v>
      </c>
      <c r="AD204" s="87">
        <v>-4834</v>
      </c>
      <c r="AE204" s="87">
        <v>-1163</v>
      </c>
      <c r="AF204" s="255">
        <v>4856</v>
      </c>
      <c r="AG204" s="256">
        <v>-3793.86</v>
      </c>
      <c r="AH204" s="257">
        <v>1062.1399999999999</v>
      </c>
      <c r="AI204" s="87">
        <v>4905</v>
      </c>
      <c r="AJ204" s="87">
        <v>-3653.95</v>
      </c>
      <c r="AK204" s="90">
        <v>1251.05</v>
      </c>
      <c r="AL204" s="89">
        <v>6089</v>
      </c>
      <c r="AM204" s="87">
        <v>-7073.78</v>
      </c>
      <c r="AN204" s="90">
        <v>-984.78</v>
      </c>
      <c r="AO204" s="89">
        <v>5434</v>
      </c>
      <c r="AP204" s="87">
        <v>-5097.1499999999996</v>
      </c>
      <c r="AQ204" s="90">
        <v>336.84999999999991</v>
      </c>
      <c r="AR204" s="89">
        <v>4228</v>
      </c>
      <c r="AS204" s="87">
        <f>SUM(AS185:AS203)</f>
        <v>-7485.28</v>
      </c>
      <c r="AT204" s="90">
        <f>AR204+AS204</f>
        <v>-3257.2799999999997</v>
      </c>
    </row>
    <row r="205" spans="4:46" ht="14.1" customHeight="1" outlineLevel="2" thickBot="1">
      <c r="E205" s="705">
        <v>2018</v>
      </c>
      <c r="F205" s="706"/>
      <c r="G205" s="707"/>
      <c r="J205" s="58">
        <f>E205</f>
        <v>2018</v>
      </c>
      <c r="K205" s="710">
        <v>43101</v>
      </c>
      <c r="L205" s="711"/>
      <c r="M205" s="712"/>
      <c r="N205" s="710">
        <v>43132</v>
      </c>
      <c r="O205" s="711"/>
      <c r="P205" s="712"/>
      <c r="Q205" s="710">
        <v>43160</v>
      </c>
      <c r="R205" s="711"/>
      <c r="S205" s="712"/>
      <c r="T205" s="710">
        <v>43191</v>
      </c>
      <c r="U205" s="711"/>
      <c r="V205" s="712"/>
      <c r="W205" s="710">
        <v>43221</v>
      </c>
      <c r="X205" s="711"/>
      <c r="Y205" s="712"/>
      <c r="Z205" s="710">
        <v>43252</v>
      </c>
      <c r="AA205" s="711"/>
      <c r="AB205" s="712"/>
      <c r="AC205" s="710">
        <v>43282</v>
      </c>
      <c r="AD205" s="711"/>
      <c r="AE205" s="712"/>
      <c r="AF205" s="710">
        <v>43313</v>
      </c>
      <c r="AG205" s="711"/>
      <c r="AH205" s="712"/>
      <c r="AI205" s="710">
        <v>43344</v>
      </c>
      <c r="AJ205" s="711"/>
      <c r="AK205" s="712"/>
      <c r="AL205" s="710">
        <v>43374</v>
      </c>
      <c r="AM205" s="711"/>
      <c r="AN205" s="712"/>
      <c r="AO205" s="710">
        <v>43405</v>
      </c>
      <c r="AP205" s="711"/>
      <c r="AQ205" s="712"/>
      <c r="AR205" s="710">
        <v>43435</v>
      </c>
      <c r="AS205" s="711"/>
      <c r="AT205" s="712"/>
    </row>
    <row r="206" spans="4:46" ht="13.5" outlineLevel="2" thickBot="1">
      <c r="D206" s="59" t="s">
        <v>7</v>
      </c>
      <c r="E206" s="60" t="s">
        <v>60</v>
      </c>
      <c r="F206" s="61" t="s">
        <v>61</v>
      </c>
      <c r="G206" s="62" t="s">
        <v>62</v>
      </c>
      <c r="H206" s="63" t="s">
        <v>73</v>
      </c>
      <c r="J206" s="59" t="s">
        <v>7</v>
      </c>
      <c r="K206" s="261" t="s">
        <v>60</v>
      </c>
      <c r="L206" s="262" t="s">
        <v>61</v>
      </c>
      <c r="M206" s="263" t="s">
        <v>62</v>
      </c>
      <c r="N206" s="261" t="s">
        <v>60</v>
      </c>
      <c r="O206" s="262" t="s">
        <v>61</v>
      </c>
      <c r="P206" s="262" t="s">
        <v>62</v>
      </c>
      <c r="Q206" s="261" t="s">
        <v>60</v>
      </c>
      <c r="R206" s="262" t="s">
        <v>61</v>
      </c>
      <c r="S206" s="263" t="s">
        <v>62</v>
      </c>
      <c r="T206" s="261" t="s">
        <v>60</v>
      </c>
      <c r="U206" s="262" t="s">
        <v>61</v>
      </c>
      <c r="V206" s="263" t="s">
        <v>62</v>
      </c>
      <c r="W206" s="261" t="s">
        <v>60</v>
      </c>
      <c r="X206" s="262" t="s">
        <v>61</v>
      </c>
      <c r="Y206" s="263" t="s">
        <v>62</v>
      </c>
      <c r="Z206" s="261" t="s">
        <v>60</v>
      </c>
      <c r="AA206" s="262" t="s">
        <v>61</v>
      </c>
      <c r="AB206" s="263" t="s">
        <v>62</v>
      </c>
      <c r="AC206" s="261" t="s">
        <v>60</v>
      </c>
      <c r="AD206" s="262" t="s">
        <v>61</v>
      </c>
      <c r="AE206" s="263" t="s">
        <v>62</v>
      </c>
      <c r="AF206" s="261" t="s">
        <v>60</v>
      </c>
      <c r="AG206" s="262" t="s">
        <v>61</v>
      </c>
      <c r="AH206" s="263" t="s">
        <v>62</v>
      </c>
      <c r="AI206" s="261" t="s">
        <v>60</v>
      </c>
      <c r="AJ206" s="262" t="s">
        <v>61</v>
      </c>
      <c r="AK206" s="263" t="s">
        <v>62</v>
      </c>
      <c r="AL206" s="261" t="s">
        <v>60</v>
      </c>
      <c r="AM206" s="262" t="s">
        <v>61</v>
      </c>
      <c r="AN206" s="263" t="s">
        <v>62</v>
      </c>
      <c r="AO206" s="261" t="s">
        <v>60</v>
      </c>
      <c r="AP206" s="262" t="s">
        <v>61</v>
      </c>
      <c r="AQ206" s="263" t="s">
        <v>62</v>
      </c>
      <c r="AR206" s="261" t="s">
        <v>60</v>
      </c>
      <c r="AS206" s="262" t="s">
        <v>61</v>
      </c>
      <c r="AT206" s="263" t="s">
        <v>62</v>
      </c>
    </row>
    <row r="207" spans="4:46" outlineLevel="2">
      <c r="D207" s="64" t="s">
        <v>8</v>
      </c>
      <c r="E207" s="82">
        <v>1910</v>
      </c>
      <c r="F207" s="80">
        <v>-2034.95</v>
      </c>
      <c r="G207" s="236">
        <v>-124.95000000000005</v>
      </c>
      <c r="H207" s="118">
        <v>4.1846360243706027E-2</v>
      </c>
      <c r="J207" s="64" t="s">
        <v>8</v>
      </c>
      <c r="K207" s="235">
        <v>153</v>
      </c>
      <c r="L207" s="236">
        <v>-153.54</v>
      </c>
      <c r="M207" s="237">
        <v>-0.53999999999999204</v>
      </c>
      <c r="N207" s="235">
        <v>153</v>
      </c>
      <c r="O207" s="236">
        <v>-153.59</v>
      </c>
      <c r="P207" s="237">
        <v>-0.59000000000000341</v>
      </c>
      <c r="Q207" s="235">
        <v>153</v>
      </c>
      <c r="R207" s="236">
        <v>-169</v>
      </c>
      <c r="S207" s="237">
        <v>-16</v>
      </c>
      <c r="T207" s="235">
        <v>153</v>
      </c>
      <c r="U207" s="236">
        <v>-149</v>
      </c>
      <c r="V207" s="237">
        <v>4</v>
      </c>
      <c r="W207" s="235">
        <v>149</v>
      </c>
      <c r="X207" s="236">
        <v>-174.15</v>
      </c>
      <c r="Y207" s="237">
        <v>-25.150000000000006</v>
      </c>
      <c r="Z207" s="236">
        <v>149</v>
      </c>
      <c r="AA207" s="236">
        <v>-199.15</v>
      </c>
      <c r="AB207" s="236">
        <v>-50.150000000000006</v>
      </c>
      <c r="AC207" s="235">
        <v>165</v>
      </c>
      <c r="AD207" s="236">
        <v>-165.99</v>
      </c>
      <c r="AE207" s="237">
        <v>-0.99000000000000909</v>
      </c>
      <c r="AF207" s="235">
        <v>195</v>
      </c>
      <c r="AG207" s="236">
        <v>-195</v>
      </c>
      <c r="AH207" s="237">
        <v>0</v>
      </c>
      <c r="AI207" s="236">
        <v>160</v>
      </c>
      <c r="AJ207" s="236">
        <v>-121.92</v>
      </c>
      <c r="AK207" s="236">
        <v>38.08</v>
      </c>
      <c r="AL207" s="235">
        <v>160</v>
      </c>
      <c r="AM207" s="236">
        <v>-126.55</v>
      </c>
      <c r="AN207" s="237">
        <v>33.450000000000003</v>
      </c>
      <c r="AO207" s="235">
        <v>160</v>
      </c>
      <c r="AP207" s="236">
        <v>-192.06</v>
      </c>
      <c r="AQ207" s="237">
        <v>-32.06</v>
      </c>
      <c r="AR207" s="235">
        <v>160</v>
      </c>
      <c r="AS207" s="236">
        <v>-235</v>
      </c>
      <c r="AT207" s="237">
        <v>-75</v>
      </c>
    </row>
    <row r="208" spans="4:46" outlineLevel="2">
      <c r="D208" s="67" t="s">
        <v>9</v>
      </c>
      <c r="E208" s="85">
        <v>818.19</v>
      </c>
      <c r="F208" s="84">
        <v>-806.4</v>
      </c>
      <c r="G208" s="241">
        <v>11.790000000000077</v>
      </c>
      <c r="H208" s="119">
        <v>1.6582670286996996E-2</v>
      </c>
      <c r="J208" s="67" t="s">
        <v>9</v>
      </c>
      <c r="K208" s="240">
        <v>75</v>
      </c>
      <c r="L208" s="241">
        <v>-73.28</v>
      </c>
      <c r="M208" s="242">
        <v>1.7199999999999989</v>
      </c>
      <c r="N208" s="240">
        <v>75</v>
      </c>
      <c r="O208" s="241">
        <v>-73.28</v>
      </c>
      <c r="P208" s="242">
        <v>1.7199999999999989</v>
      </c>
      <c r="Q208" s="240">
        <v>75</v>
      </c>
      <c r="R208" s="241">
        <v>-73.28</v>
      </c>
      <c r="S208" s="242">
        <v>1.7199999999999989</v>
      </c>
      <c r="T208" s="240">
        <v>68.19</v>
      </c>
      <c r="U208" s="241">
        <v>-78</v>
      </c>
      <c r="V208" s="242">
        <v>-9.8100000000000023</v>
      </c>
      <c r="W208" s="240">
        <v>75</v>
      </c>
      <c r="X208" s="241">
        <v>-73.28</v>
      </c>
      <c r="Y208" s="242">
        <v>1.7199999999999989</v>
      </c>
      <c r="Z208" s="241">
        <v>75</v>
      </c>
      <c r="AA208" s="241">
        <v>-73.28</v>
      </c>
      <c r="AB208" s="241">
        <v>1.7199999999999989</v>
      </c>
      <c r="AC208" s="240">
        <v>0</v>
      </c>
      <c r="AD208" s="241">
        <v>0</v>
      </c>
      <c r="AE208" s="242">
        <v>0</v>
      </c>
      <c r="AF208" s="240">
        <v>75</v>
      </c>
      <c r="AG208" s="241">
        <v>-73</v>
      </c>
      <c r="AH208" s="242">
        <v>2</v>
      </c>
      <c r="AI208" s="241">
        <v>75</v>
      </c>
      <c r="AJ208" s="241">
        <v>-72</v>
      </c>
      <c r="AK208" s="241">
        <v>3</v>
      </c>
      <c r="AL208" s="240">
        <v>75</v>
      </c>
      <c r="AM208" s="241">
        <v>-74</v>
      </c>
      <c r="AN208" s="242">
        <v>1</v>
      </c>
      <c r="AO208" s="240">
        <v>75</v>
      </c>
      <c r="AP208" s="241">
        <v>-71</v>
      </c>
      <c r="AQ208" s="242">
        <v>4</v>
      </c>
      <c r="AR208" s="240">
        <v>75</v>
      </c>
      <c r="AS208" s="241">
        <v>-72</v>
      </c>
      <c r="AT208" s="242">
        <v>3</v>
      </c>
    </row>
    <row r="209" spans="4:46" outlineLevel="2">
      <c r="D209" s="67" t="s">
        <v>10</v>
      </c>
      <c r="E209" s="85">
        <v>365</v>
      </c>
      <c r="F209" s="84">
        <v>0</v>
      </c>
      <c r="G209" s="241">
        <v>365</v>
      </c>
      <c r="H209" s="119">
        <v>0</v>
      </c>
      <c r="J209" s="67" t="s">
        <v>10</v>
      </c>
      <c r="K209" s="240">
        <v>25</v>
      </c>
      <c r="L209" s="241">
        <v>0</v>
      </c>
      <c r="M209" s="242">
        <v>25</v>
      </c>
      <c r="N209" s="240">
        <v>25</v>
      </c>
      <c r="O209" s="241">
        <v>0</v>
      </c>
      <c r="P209" s="242">
        <v>25</v>
      </c>
      <c r="Q209" s="240">
        <v>25</v>
      </c>
      <c r="R209" s="241">
        <v>0</v>
      </c>
      <c r="S209" s="242">
        <v>25</v>
      </c>
      <c r="T209" s="240">
        <v>25</v>
      </c>
      <c r="U209" s="241">
        <v>0</v>
      </c>
      <c r="V209" s="242">
        <v>25</v>
      </c>
      <c r="W209" s="240">
        <v>40</v>
      </c>
      <c r="X209" s="241">
        <v>0</v>
      </c>
      <c r="Y209" s="242">
        <v>40</v>
      </c>
      <c r="Z209" s="241">
        <v>40</v>
      </c>
      <c r="AA209" s="241">
        <v>0</v>
      </c>
      <c r="AB209" s="241">
        <v>40</v>
      </c>
      <c r="AC209" s="240">
        <v>30</v>
      </c>
      <c r="AD209" s="241">
        <v>0</v>
      </c>
      <c r="AE209" s="242">
        <v>30</v>
      </c>
      <c r="AF209" s="240">
        <v>30</v>
      </c>
      <c r="AG209" s="241">
        <v>0</v>
      </c>
      <c r="AH209" s="242">
        <v>30</v>
      </c>
      <c r="AI209" s="241">
        <v>50</v>
      </c>
      <c r="AJ209" s="241">
        <v>0</v>
      </c>
      <c r="AK209" s="241">
        <v>50</v>
      </c>
      <c r="AL209" s="240">
        <v>0</v>
      </c>
      <c r="AM209" s="241">
        <v>0</v>
      </c>
      <c r="AN209" s="242">
        <v>0</v>
      </c>
      <c r="AO209" s="240">
        <v>25</v>
      </c>
      <c r="AP209" s="241">
        <v>0</v>
      </c>
      <c r="AQ209" s="242">
        <v>25</v>
      </c>
      <c r="AR209" s="240">
        <v>50</v>
      </c>
      <c r="AS209" s="241">
        <v>0</v>
      </c>
      <c r="AT209" s="242">
        <v>50</v>
      </c>
    </row>
    <row r="210" spans="4:46" outlineLevel="2">
      <c r="D210" s="67" t="s">
        <v>11</v>
      </c>
      <c r="E210" s="85">
        <v>629</v>
      </c>
      <c r="F210" s="84">
        <v>-557.72</v>
      </c>
      <c r="G210" s="241">
        <v>71.279999999999973</v>
      </c>
      <c r="H210" s="119">
        <v>1.1468857728749959E-2</v>
      </c>
      <c r="J210" s="67" t="s">
        <v>11</v>
      </c>
      <c r="K210" s="240">
        <v>50</v>
      </c>
      <c r="L210" s="241">
        <v>-168</v>
      </c>
      <c r="M210" s="242">
        <v>-118</v>
      </c>
      <c r="N210" s="240">
        <v>50</v>
      </c>
      <c r="O210" s="241">
        <v>0</v>
      </c>
      <c r="P210" s="242">
        <v>50</v>
      </c>
      <c r="Q210" s="240">
        <v>0</v>
      </c>
      <c r="R210" s="241">
        <v>-44.72</v>
      </c>
      <c r="S210" s="242">
        <v>-44.72</v>
      </c>
      <c r="T210" s="240">
        <v>50</v>
      </c>
      <c r="U210" s="241">
        <v>0</v>
      </c>
      <c r="V210" s="242">
        <v>50</v>
      </c>
      <c r="W210" s="240">
        <v>50</v>
      </c>
      <c r="X210" s="241">
        <v>-76</v>
      </c>
      <c r="Y210" s="242">
        <v>-26</v>
      </c>
      <c r="Z210" s="241">
        <v>50</v>
      </c>
      <c r="AA210" s="241">
        <v>0</v>
      </c>
      <c r="AB210" s="241">
        <v>50</v>
      </c>
      <c r="AC210" s="240">
        <v>30</v>
      </c>
      <c r="AD210" s="241">
        <v>0</v>
      </c>
      <c r="AE210" s="242">
        <v>30</v>
      </c>
      <c r="AF210" s="240">
        <v>30</v>
      </c>
      <c r="AG210" s="241">
        <v>0</v>
      </c>
      <c r="AH210" s="242">
        <v>30</v>
      </c>
      <c r="AI210" s="241">
        <v>50</v>
      </c>
      <c r="AJ210" s="241">
        <v>0</v>
      </c>
      <c r="AK210" s="241">
        <v>50</v>
      </c>
      <c r="AL210" s="240">
        <v>169</v>
      </c>
      <c r="AM210" s="241">
        <v>-169</v>
      </c>
      <c r="AN210" s="242">
        <v>0</v>
      </c>
      <c r="AO210" s="240">
        <v>50</v>
      </c>
      <c r="AP210" s="241">
        <v>0</v>
      </c>
      <c r="AQ210" s="242">
        <v>50</v>
      </c>
      <c r="AR210" s="240">
        <v>50</v>
      </c>
      <c r="AS210" s="241">
        <v>-100</v>
      </c>
      <c r="AT210" s="242">
        <v>-50</v>
      </c>
    </row>
    <row r="211" spans="4:46" outlineLevel="2">
      <c r="D211" s="67" t="s">
        <v>75</v>
      </c>
      <c r="E211" s="85">
        <v>38</v>
      </c>
      <c r="F211" s="84">
        <v>0</v>
      </c>
      <c r="G211" s="241">
        <v>38</v>
      </c>
      <c r="H211" s="119">
        <v>0</v>
      </c>
      <c r="J211" s="67" t="s">
        <v>75</v>
      </c>
      <c r="K211" s="240">
        <v>0</v>
      </c>
      <c r="L211" s="241">
        <v>0</v>
      </c>
      <c r="M211" s="242">
        <v>0</v>
      </c>
      <c r="N211" s="240">
        <v>0</v>
      </c>
      <c r="O211" s="241">
        <v>0</v>
      </c>
      <c r="P211" s="242">
        <v>0</v>
      </c>
      <c r="Q211" s="240">
        <v>0</v>
      </c>
      <c r="R211" s="241">
        <v>0</v>
      </c>
      <c r="S211" s="242">
        <v>0</v>
      </c>
      <c r="T211" s="240">
        <v>0</v>
      </c>
      <c r="U211" s="241">
        <v>0</v>
      </c>
      <c r="V211" s="242">
        <v>0</v>
      </c>
      <c r="W211" s="240">
        <v>0</v>
      </c>
      <c r="X211" s="241">
        <v>0</v>
      </c>
      <c r="Y211" s="242">
        <v>0</v>
      </c>
      <c r="Z211" s="241">
        <v>0</v>
      </c>
      <c r="AA211" s="241">
        <v>0</v>
      </c>
      <c r="AB211" s="241">
        <v>0</v>
      </c>
      <c r="AC211" s="240">
        <v>0</v>
      </c>
      <c r="AD211" s="241">
        <v>0</v>
      </c>
      <c r="AE211" s="242">
        <v>0</v>
      </c>
      <c r="AF211" s="240">
        <v>0</v>
      </c>
      <c r="AG211" s="241">
        <v>0</v>
      </c>
      <c r="AH211" s="242">
        <v>0</v>
      </c>
      <c r="AI211" s="241">
        <v>0</v>
      </c>
      <c r="AJ211" s="241">
        <v>0</v>
      </c>
      <c r="AK211" s="241">
        <v>0</v>
      </c>
      <c r="AL211" s="240">
        <v>0</v>
      </c>
      <c r="AM211" s="241">
        <v>0</v>
      </c>
      <c r="AN211" s="242">
        <v>0</v>
      </c>
      <c r="AO211" s="240">
        <v>0</v>
      </c>
      <c r="AP211" s="241">
        <v>0</v>
      </c>
      <c r="AQ211" s="242">
        <v>0</v>
      </c>
      <c r="AR211" s="240">
        <v>38</v>
      </c>
      <c r="AS211" s="241">
        <v>0</v>
      </c>
      <c r="AT211" s="242">
        <v>38</v>
      </c>
    </row>
    <row r="212" spans="4:46" outlineLevel="2">
      <c r="D212" s="67" t="s">
        <v>13</v>
      </c>
      <c r="E212" s="85">
        <v>6350</v>
      </c>
      <c r="F212" s="84">
        <v>-7811.3600000000006</v>
      </c>
      <c r="G212" s="241">
        <v>-1461.3600000000006</v>
      </c>
      <c r="H212" s="119">
        <v>0.16063145755584932</v>
      </c>
      <c r="J212" s="67" t="s">
        <v>13</v>
      </c>
      <c r="K212" s="240">
        <v>800</v>
      </c>
      <c r="L212" s="241">
        <v>-703.41</v>
      </c>
      <c r="M212" s="242">
        <v>96.590000000000032</v>
      </c>
      <c r="N212" s="240">
        <v>600</v>
      </c>
      <c r="O212" s="241">
        <v>-586.04999999999995</v>
      </c>
      <c r="P212" s="242">
        <v>13.950000000000045</v>
      </c>
      <c r="Q212" s="240">
        <v>300</v>
      </c>
      <c r="R212" s="241">
        <v>-800.53</v>
      </c>
      <c r="S212" s="242">
        <v>-500.53</v>
      </c>
      <c r="T212" s="240">
        <v>400</v>
      </c>
      <c r="U212" s="241">
        <v>-616</v>
      </c>
      <c r="V212" s="242">
        <v>-216</v>
      </c>
      <c r="W212" s="240">
        <v>450</v>
      </c>
      <c r="X212" s="241">
        <v>-367.52</v>
      </c>
      <c r="Y212" s="242">
        <v>82.480000000000018</v>
      </c>
      <c r="Z212" s="241">
        <v>800</v>
      </c>
      <c r="AA212" s="241">
        <v>-640</v>
      </c>
      <c r="AB212" s="241">
        <v>160</v>
      </c>
      <c r="AC212" s="240">
        <v>400</v>
      </c>
      <c r="AD212" s="241">
        <v>-434</v>
      </c>
      <c r="AE212" s="242">
        <v>-34</v>
      </c>
      <c r="AF212" s="240">
        <v>250</v>
      </c>
      <c r="AG212" s="241">
        <v>-973.17000000000007</v>
      </c>
      <c r="AH212" s="242">
        <v>-723.17000000000007</v>
      </c>
      <c r="AI212" s="241">
        <v>500</v>
      </c>
      <c r="AJ212" s="241">
        <v>-648</v>
      </c>
      <c r="AK212" s="241">
        <v>-148</v>
      </c>
      <c r="AL212" s="240">
        <v>850</v>
      </c>
      <c r="AM212" s="241">
        <v>-863.68</v>
      </c>
      <c r="AN212" s="242">
        <v>-13.67999999999995</v>
      </c>
      <c r="AO212" s="240">
        <v>300</v>
      </c>
      <c r="AP212" s="241">
        <v>-487</v>
      </c>
      <c r="AQ212" s="242">
        <v>-187</v>
      </c>
      <c r="AR212" s="240">
        <v>700</v>
      </c>
      <c r="AS212" s="241">
        <v>-692</v>
      </c>
      <c r="AT212" s="242">
        <v>8</v>
      </c>
    </row>
    <row r="213" spans="4:46" outlineLevel="2">
      <c r="D213" s="70" t="s">
        <v>14</v>
      </c>
      <c r="E213" s="85">
        <v>2425</v>
      </c>
      <c r="F213" s="84">
        <v>-2322</v>
      </c>
      <c r="G213" s="241">
        <v>103</v>
      </c>
      <c r="H213" s="119">
        <v>4.7749206853183318E-2</v>
      </c>
      <c r="J213" s="70" t="s">
        <v>14</v>
      </c>
      <c r="K213" s="240">
        <v>200</v>
      </c>
      <c r="L213" s="241">
        <v>-252.89</v>
      </c>
      <c r="M213" s="242">
        <v>-52.889999999999986</v>
      </c>
      <c r="N213" s="240">
        <v>280</v>
      </c>
      <c r="O213" s="241">
        <v>-281.95999999999998</v>
      </c>
      <c r="P213" s="242">
        <v>-1.9599999999999795</v>
      </c>
      <c r="Q213" s="240">
        <v>370</v>
      </c>
      <c r="R213" s="241">
        <v>-140.5</v>
      </c>
      <c r="S213" s="242">
        <v>229.5</v>
      </c>
      <c r="T213" s="240">
        <v>300</v>
      </c>
      <c r="U213" s="241">
        <v>-69</v>
      </c>
      <c r="V213" s="242">
        <v>231</v>
      </c>
      <c r="W213" s="240">
        <v>300</v>
      </c>
      <c r="X213" s="241">
        <v>-248</v>
      </c>
      <c r="Y213" s="242">
        <v>52</v>
      </c>
      <c r="Z213" s="241">
        <v>100</v>
      </c>
      <c r="AA213" s="241">
        <v>-174.57</v>
      </c>
      <c r="AB213" s="241">
        <v>-74.569999999999993</v>
      </c>
      <c r="AC213" s="240">
        <v>250</v>
      </c>
      <c r="AD213" s="241">
        <v>-309</v>
      </c>
      <c r="AE213" s="242">
        <v>-59</v>
      </c>
      <c r="AF213" s="240">
        <v>75</v>
      </c>
      <c r="AG213" s="241">
        <v>-32</v>
      </c>
      <c r="AH213" s="242">
        <v>43</v>
      </c>
      <c r="AI213" s="241">
        <v>150</v>
      </c>
      <c r="AJ213" s="241">
        <v>-316.08</v>
      </c>
      <c r="AK213" s="241">
        <v>-166.07999999999998</v>
      </c>
      <c r="AL213" s="240">
        <v>200</v>
      </c>
      <c r="AM213" s="241">
        <v>-289</v>
      </c>
      <c r="AN213" s="242">
        <v>-89</v>
      </c>
      <c r="AO213" s="240">
        <v>100</v>
      </c>
      <c r="AP213" s="241">
        <v>-25</v>
      </c>
      <c r="AQ213" s="242">
        <v>75</v>
      </c>
      <c r="AR213" s="240">
        <v>100</v>
      </c>
      <c r="AS213" s="241">
        <v>-184</v>
      </c>
      <c r="AT213" s="242">
        <v>-84</v>
      </c>
    </row>
    <row r="214" spans="4:46" outlineLevel="2">
      <c r="D214" s="67" t="s">
        <v>15</v>
      </c>
      <c r="E214" s="85">
        <v>2708</v>
      </c>
      <c r="F214" s="84">
        <v>-2767.3900000000003</v>
      </c>
      <c r="G214" s="241">
        <v>-59.390000000000327</v>
      </c>
      <c r="H214" s="119">
        <v>5.6908129867972009E-2</v>
      </c>
      <c r="J214" s="67" t="s">
        <v>15</v>
      </c>
      <c r="K214" s="240">
        <v>200</v>
      </c>
      <c r="L214" s="241">
        <v>-155.71</v>
      </c>
      <c r="M214" s="242">
        <v>44.289999999999992</v>
      </c>
      <c r="N214" s="240">
        <v>250</v>
      </c>
      <c r="O214" s="241">
        <v>-172.56</v>
      </c>
      <c r="P214" s="242">
        <v>77.44</v>
      </c>
      <c r="Q214" s="240">
        <v>200</v>
      </c>
      <c r="R214" s="241">
        <v>-209</v>
      </c>
      <c r="S214" s="242">
        <v>-9</v>
      </c>
      <c r="T214" s="240">
        <v>200</v>
      </c>
      <c r="U214" s="241">
        <v>-387</v>
      </c>
      <c r="V214" s="242">
        <v>-187</v>
      </c>
      <c r="W214" s="240">
        <v>368</v>
      </c>
      <c r="X214" s="241">
        <v>-368</v>
      </c>
      <c r="Y214" s="242">
        <v>0</v>
      </c>
      <c r="Z214" s="241">
        <v>200</v>
      </c>
      <c r="AA214" s="241">
        <v>-216</v>
      </c>
      <c r="AB214" s="241">
        <v>-16</v>
      </c>
      <c r="AC214" s="240">
        <v>220</v>
      </c>
      <c r="AD214" s="241">
        <v>-56</v>
      </c>
      <c r="AE214" s="242">
        <v>164</v>
      </c>
      <c r="AF214" s="240">
        <v>220</v>
      </c>
      <c r="AG214" s="241">
        <v>-324.19</v>
      </c>
      <c r="AH214" s="242">
        <v>-104.19</v>
      </c>
      <c r="AI214" s="241">
        <v>200</v>
      </c>
      <c r="AJ214" s="241">
        <v>-44</v>
      </c>
      <c r="AK214" s="241">
        <v>156</v>
      </c>
      <c r="AL214" s="240">
        <v>250</v>
      </c>
      <c r="AM214" s="241">
        <v>-347.63</v>
      </c>
      <c r="AN214" s="242">
        <v>-97.63</v>
      </c>
      <c r="AO214" s="240">
        <v>200</v>
      </c>
      <c r="AP214" s="241">
        <v>-207.3</v>
      </c>
      <c r="AQ214" s="242">
        <v>-7.3000000000000114</v>
      </c>
      <c r="AR214" s="240">
        <v>200</v>
      </c>
      <c r="AS214" s="241">
        <v>-280</v>
      </c>
      <c r="AT214" s="242">
        <v>-80</v>
      </c>
    </row>
    <row r="215" spans="4:46" outlineLevel="2">
      <c r="D215" s="67" t="s">
        <v>16</v>
      </c>
      <c r="E215" s="85">
        <v>2886</v>
      </c>
      <c r="F215" s="84">
        <v>-1912</v>
      </c>
      <c r="G215" s="241">
        <v>974</v>
      </c>
      <c r="H215" s="119">
        <v>3.9318037684447249E-2</v>
      </c>
      <c r="J215" s="67" t="s">
        <v>16</v>
      </c>
      <c r="K215" s="240">
        <v>0</v>
      </c>
      <c r="L215" s="241">
        <v>-100</v>
      </c>
      <c r="M215" s="242">
        <v>-100</v>
      </c>
      <c r="N215" s="240">
        <v>100</v>
      </c>
      <c r="O215" s="241">
        <v>-100</v>
      </c>
      <c r="P215" s="242">
        <v>0</v>
      </c>
      <c r="Q215" s="240">
        <v>350</v>
      </c>
      <c r="R215" s="241">
        <v>-367</v>
      </c>
      <c r="S215" s="242">
        <v>-17</v>
      </c>
      <c r="T215" s="240">
        <v>0</v>
      </c>
      <c r="U215" s="241">
        <v>-84</v>
      </c>
      <c r="V215" s="242">
        <v>-84</v>
      </c>
      <c r="W215" s="240">
        <v>150</v>
      </c>
      <c r="X215" s="241">
        <v>0</v>
      </c>
      <c r="Y215" s="242">
        <v>150</v>
      </c>
      <c r="Z215" s="241">
        <v>50</v>
      </c>
      <c r="AA215" s="241">
        <v>0</v>
      </c>
      <c r="AB215" s="241">
        <v>50</v>
      </c>
      <c r="AC215" s="240">
        <v>200</v>
      </c>
      <c r="AD215" s="241">
        <v>-339</v>
      </c>
      <c r="AE215" s="242">
        <v>-139</v>
      </c>
      <c r="AF215" s="240">
        <v>400</v>
      </c>
      <c r="AG215" s="241">
        <v>-323</v>
      </c>
      <c r="AH215" s="242">
        <v>77</v>
      </c>
      <c r="AI215" s="241">
        <v>500</v>
      </c>
      <c r="AJ215" s="241">
        <v>-528</v>
      </c>
      <c r="AK215" s="241">
        <v>-28</v>
      </c>
      <c r="AL215" s="240">
        <v>0</v>
      </c>
      <c r="AM215" s="241">
        <v>-25</v>
      </c>
      <c r="AN215" s="242">
        <v>-25</v>
      </c>
      <c r="AO215" s="240">
        <v>986</v>
      </c>
      <c r="AP215" s="241">
        <v>0</v>
      </c>
      <c r="AQ215" s="242">
        <v>986</v>
      </c>
      <c r="AR215" s="240">
        <v>150</v>
      </c>
      <c r="AS215" s="241">
        <v>-46</v>
      </c>
      <c r="AT215" s="242">
        <v>104</v>
      </c>
    </row>
    <row r="216" spans="4:46" outlineLevel="2">
      <c r="D216" s="67" t="s">
        <v>17</v>
      </c>
      <c r="E216" s="85">
        <v>2500</v>
      </c>
      <c r="F216" s="84">
        <v>-1338.21</v>
      </c>
      <c r="G216" s="241">
        <v>1161.79</v>
      </c>
      <c r="H216" s="119">
        <v>2.7518719251937319E-2</v>
      </c>
      <c r="J216" s="67" t="s">
        <v>17</v>
      </c>
      <c r="K216" s="240">
        <v>250</v>
      </c>
      <c r="L216" s="241">
        <v>-126</v>
      </c>
      <c r="M216" s="242">
        <v>124</v>
      </c>
      <c r="N216" s="240">
        <v>150</v>
      </c>
      <c r="O216" s="241">
        <v>-229.08999999999997</v>
      </c>
      <c r="P216" s="242">
        <v>-79.089999999999975</v>
      </c>
      <c r="Q216" s="240">
        <v>100</v>
      </c>
      <c r="R216" s="241">
        <v>0</v>
      </c>
      <c r="S216" s="242">
        <v>100</v>
      </c>
      <c r="T216" s="240">
        <v>400</v>
      </c>
      <c r="U216" s="241">
        <v>-67</v>
      </c>
      <c r="V216" s="242">
        <v>333</v>
      </c>
      <c r="W216" s="240">
        <v>300</v>
      </c>
      <c r="X216" s="241">
        <v>-317.69</v>
      </c>
      <c r="Y216" s="242">
        <v>-17.689999999999998</v>
      </c>
      <c r="Z216" s="241">
        <v>150</v>
      </c>
      <c r="AA216" s="241">
        <v>0</v>
      </c>
      <c r="AB216" s="241">
        <v>150</v>
      </c>
      <c r="AC216" s="240">
        <v>400</v>
      </c>
      <c r="AD216" s="241">
        <v>-354.43</v>
      </c>
      <c r="AE216" s="242">
        <v>45.569999999999993</v>
      </c>
      <c r="AF216" s="240">
        <v>150</v>
      </c>
      <c r="AG216" s="241">
        <v>-164</v>
      </c>
      <c r="AH216" s="242">
        <v>-14</v>
      </c>
      <c r="AI216" s="241">
        <v>150</v>
      </c>
      <c r="AJ216" s="241">
        <v>0</v>
      </c>
      <c r="AK216" s="241">
        <v>150</v>
      </c>
      <c r="AL216" s="240">
        <v>150</v>
      </c>
      <c r="AM216" s="241">
        <v>-80</v>
      </c>
      <c r="AN216" s="242">
        <v>70</v>
      </c>
      <c r="AO216" s="240">
        <v>150</v>
      </c>
      <c r="AP216" s="241">
        <v>0</v>
      </c>
      <c r="AQ216" s="242">
        <v>150</v>
      </c>
      <c r="AR216" s="240">
        <v>150</v>
      </c>
      <c r="AS216" s="241">
        <v>0</v>
      </c>
      <c r="AT216" s="242">
        <v>150</v>
      </c>
    </row>
    <row r="217" spans="4:46" outlineLevel="2">
      <c r="D217" s="67" t="s">
        <v>18</v>
      </c>
      <c r="E217" s="85">
        <v>712</v>
      </c>
      <c r="F217" s="84">
        <v>-1092</v>
      </c>
      <c r="G217" s="241">
        <v>-380</v>
      </c>
      <c r="H217" s="119">
        <v>2.2455699346975101E-2</v>
      </c>
      <c r="J217" s="67" t="s">
        <v>18</v>
      </c>
      <c r="K217" s="240">
        <v>79</v>
      </c>
      <c r="L217" s="241">
        <v>-96</v>
      </c>
      <c r="M217" s="242">
        <v>-17</v>
      </c>
      <c r="N217" s="240">
        <v>86</v>
      </c>
      <c r="O217" s="241">
        <v>-86</v>
      </c>
      <c r="P217" s="242">
        <v>0</v>
      </c>
      <c r="Q217" s="240">
        <v>119</v>
      </c>
      <c r="R217" s="241">
        <v>-82</v>
      </c>
      <c r="S217" s="242">
        <v>37</v>
      </c>
      <c r="T217" s="240">
        <v>119</v>
      </c>
      <c r="U217" s="241">
        <v>-81</v>
      </c>
      <c r="V217" s="242">
        <v>38</v>
      </c>
      <c r="W217" s="240">
        <v>119</v>
      </c>
      <c r="X217" s="241">
        <v>-81</v>
      </c>
      <c r="Y217" s="242">
        <v>38</v>
      </c>
      <c r="Z217" s="241">
        <v>30</v>
      </c>
      <c r="AA217" s="241">
        <v>-81</v>
      </c>
      <c r="AB217" s="241">
        <v>-51</v>
      </c>
      <c r="AC217" s="240">
        <v>40</v>
      </c>
      <c r="AD217" s="241">
        <v>-81</v>
      </c>
      <c r="AE217" s="242">
        <v>-41</v>
      </c>
      <c r="AF217" s="240">
        <v>0</v>
      </c>
      <c r="AG217" s="241">
        <v>-51</v>
      </c>
      <c r="AH217" s="242">
        <v>-51</v>
      </c>
      <c r="AI217" s="241">
        <v>30</v>
      </c>
      <c r="AJ217" s="241">
        <v>-80</v>
      </c>
      <c r="AK217" s="241">
        <v>-50</v>
      </c>
      <c r="AL217" s="240">
        <v>30</v>
      </c>
      <c r="AM217" s="241">
        <v>-81</v>
      </c>
      <c r="AN217" s="242">
        <v>-51</v>
      </c>
      <c r="AO217" s="240">
        <v>30</v>
      </c>
      <c r="AP217" s="241">
        <v>-169</v>
      </c>
      <c r="AQ217" s="242">
        <v>-139</v>
      </c>
      <c r="AR217" s="240">
        <v>30</v>
      </c>
      <c r="AS217" s="241">
        <v>-123</v>
      </c>
      <c r="AT217" s="242">
        <v>-93</v>
      </c>
    </row>
    <row r="218" spans="4:46" outlineLevel="2">
      <c r="D218" s="67" t="s">
        <v>19</v>
      </c>
      <c r="E218" s="85">
        <v>0</v>
      </c>
      <c r="F218" s="84">
        <v>0</v>
      </c>
      <c r="G218" s="241">
        <v>0</v>
      </c>
      <c r="H218" s="119">
        <v>0</v>
      </c>
      <c r="J218" s="67" t="s">
        <v>19</v>
      </c>
      <c r="K218" s="240">
        <v>0</v>
      </c>
      <c r="L218" s="241">
        <v>0</v>
      </c>
      <c r="M218" s="242">
        <v>0</v>
      </c>
      <c r="N218" s="240">
        <v>0</v>
      </c>
      <c r="O218" s="241">
        <v>0</v>
      </c>
      <c r="P218" s="242">
        <v>0</v>
      </c>
      <c r="Q218" s="240">
        <v>0</v>
      </c>
      <c r="R218" s="241">
        <v>0</v>
      </c>
      <c r="S218" s="242">
        <v>0</v>
      </c>
      <c r="T218" s="240">
        <v>0</v>
      </c>
      <c r="U218" s="241">
        <v>0</v>
      </c>
      <c r="V218" s="242">
        <v>0</v>
      </c>
      <c r="W218" s="240">
        <v>0</v>
      </c>
      <c r="X218" s="241">
        <v>0</v>
      </c>
      <c r="Y218" s="242">
        <v>0</v>
      </c>
      <c r="Z218" s="241">
        <v>0</v>
      </c>
      <c r="AA218" s="241">
        <v>0</v>
      </c>
      <c r="AB218" s="241">
        <v>0</v>
      </c>
      <c r="AC218" s="240">
        <v>0</v>
      </c>
      <c r="AD218" s="241">
        <v>0</v>
      </c>
      <c r="AE218" s="242">
        <v>0</v>
      </c>
      <c r="AF218" s="240">
        <v>0</v>
      </c>
      <c r="AG218" s="241">
        <v>0</v>
      </c>
      <c r="AH218" s="242">
        <v>0</v>
      </c>
      <c r="AI218" s="241">
        <v>0</v>
      </c>
      <c r="AJ218" s="241">
        <v>0</v>
      </c>
      <c r="AK218" s="241">
        <v>0</v>
      </c>
      <c r="AL218" s="240">
        <v>0</v>
      </c>
      <c r="AM218" s="241">
        <v>0</v>
      </c>
      <c r="AN218" s="242">
        <v>0</v>
      </c>
      <c r="AO218" s="240">
        <v>0</v>
      </c>
      <c r="AP218" s="241">
        <v>0</v>
      </c>
      <c r="AQ218" s="242">
        <v>0</v>
      </c>
      <c r="AR218" s="240">
        <v>0</v>
      </c>
      <c r="AS218" s="241">
        <v>0</v>
      </c>
      <c r="AT218" s="242">
        <v>0</v>
      </c>
    </row>
    <row r="219" spans="4:46" outlineLevel="2">
      <c r="D219" s="67" t="s">
        <v>20</v>
      </c>
      <c r="E219" s="85">
        <v>4474</v>
      </c>
      <c r="F219" s="84">
        <v>-5846.8099999999995</v>
      </c>
      <c r="G219" s="241">
        <v>-1372.8099999999995</v>
      </c>
      <c r="H219" s="119">
        <v>0.12023279074989696</v>
      </c>
      <c r="J219" s="67" t="s">
        <v>20</v>
      </c>
      <c r="K219" s="240">
        <v>100</v>
      </c>
      <c r="L219" s="241">
        <v>-262.49</v>
      </c>
      <c r="M219" s="242">
        <v>-162.49</v>
      </c>
      <c r="N219" s="240">
        <v>100</v>
      </c>
      <c r="O219" s="241">
        <v>-132.99</v>
      </c>
      <c r="P219" s="242">
        <v>-32.990000000000009</v>
      </c>
      <c r="Q219" s="240">
        <v>100</v>
      </c>
      <c r="R219" s="241">
        <v>-231</v>
      </c>
      <c r="S219" s="242">
        <v>-131</v>
      </c>
      <c r="T219" s="240">
        <v>100</v>
      </c>
      <c r="U219" s="241">
        <v>-346</v>
      </c>
      <c r="V219" s="242">
        <v>-246</v>
      </c>
      <c r="W219" s="240">
        <v>150</v>
      </c>
      <c r="X219" s="241">
        <v>-64</v>
      </c>
      <c r="Y219" s="242">
        <v>86</v>
      </c>
      <c r="Z219" s="241">
        <v>600</v>
      </c>
      <c r="AA219" s="241">
        <v>-701.04</v>
      </c>
      <c r="AB219" s="241">
        <v>-101.03999999999996</v>
      </c>
      <c r="AC219" s="240">
        <v>500</v>
      </c>
      <c r="AD219" s="241">
        <v>-576</v>
      </c>
      <c r="AE219" s="242">
        <v>-76</v>
      </c>
      <c r="AF219" s="240">
        <v>70</v>
      </c>
      <c r="AG219" s="241">
        <v>-243</v>
      </c>
      <c r="AH219" s="242">
        <v>-173</v>
      </c>
      <c r="AI219" s="241">
        <v>450</v>
      </c>
      <c r="AJ219" s="241">
        <v>-561</v>
      </c>
      <c r="AK219" s="241">
        <v>-111</v>
      </c>
      <c r="AL219" s="240">
        <v>104</v>
      </c>
      <c r="AM219" s="241">
        <v>-342</v>
      </c>
      <c r="AN219" s="242">
        <v>-238</v>
      </c>
      <c r="AO219" s="240">
        <v>1200</v>
      </c>
      <c r="AP219" s="241">
        <v>-1437.47</v>
      </c>
      <c r="AQ219" s="242">
        <v>-237.47000000000003</v>
      </c>
      <c r="AR219" s="240">
        <v>1000</v>
      </c>
      <c r="AS219" s="241">
        <v>-949.81999999999994</v>
      </c>
      <c r="AT219" s="242">
        <v>50.180000000000064</v>
      </c>
    </row>
    <row r="220" spans="4:46" outlineLevel="2">
      <c r="D220" s="67" t="s">
        <v>21</v>
      </c>
      <c r="E220" s="85">
        <v>1530</v>
      </c>
      <c r="F220" s="84">
        <v>-1440</v>
      </c>
      <c r="G220" s="241">
        <v>90</v>
      </c>
      <c r="H220" s="119">
        <v>2.9611911226780353E-2</v>
      </c>
      <c r="J220" s="67" t="s">
        <v>21</v>
      </c>
      <c r="K220" s="240">
        <v>130</v>
      </c>
      <c r="L220" s="241">
        <v>-48</v>
      </c>
      <c r="M220" s="242">
        <v>82</v>
      </c>
      <c r="N220" s="240">
        <v>130</v>
      </c>
      <c r="O220" s="241">
        <v>-38</v>
      </c>
      <c r="P220" s="242">
        <v>92</v>
      </c>
      <c r="Q220" s="240">
        <v>130</v>
      </c>
      <c r="R220" s="241">
        <v>-88</v>
      </c>
      <c r="S220" s="242">
        <v>42</v>
      </c>
      <c r="T220" s="240">
        <v>130</v>
      </c>
      <c r="U220" s="241">
        <v>-138</v>
      </c>
      <c r="V220" s="242">
        <v>-8</v>
      </c>
      <c r="W220" s="240">
        <v>150</v>
      </c>
      <c r="X220" s="241">
        <v>-188</v>
      </c>
      <c r="Y220" s="242">
        <v>-38</v>
      </c>
      <c r="Z220" s="241">
        <v>100</v>
      </c>
      <c r="AA220" s="241">
        <v>-140</v>
      </c>
      <c r="AB220" s="241">
        <v>-40</v>
      </c>
      <c r="AC220" s="240">
        <v>200</v>
      </c>
      <c r="AD220" s="241">
        <v>-138</v>
      </c>
      <c r="AE220" s="242">
        <v>62</v>
      </c>
      <c r="AF220" s="240">
        <v>160</v>
      </c>
      <c r="AG220" s="241">
        <v>-138</v>
      </c>
      <c r="AH220" s="242">
        <v>22</v>
      </c>
      <c r="AI220" s="241">
        <v>100</v>
      </c>
      <c r="AJ220" s="241">
        <v>-138</v>
      </c>
      <c r="AK220" s="241">
        <v>-38</v>
      </c>
      <c r="AL220" s="240">
        <v>100</v>
      </c>
      <c r="AM220" s="241">
        <v>-110</v>
      </c>
      <c r="AN220" s="242">
        <v>-10</v>
      </c>
      <c r="AO220" s="240">
        <v>100</v>
      </c>
      <c r="AP220" s="241">
        <v>-138</v>
      </c>
      <c r="AQ220" s="242">
        <v>-38</v>
      </c>
      <c r="AR220" s="240">
        <v>100</v>
      </c>
      <c r="AS220" s="241">
        <v>-138</v>
      </c>
      <c r="AT220" s="242">
        <v>-38</v>
      </c>
    </row>
    <row r="221" spans="4:46" outlineLevel="2">
      <c r="D221" s="67" t="s">
        <v>22</v>
      </c>
      <c r="E221" s="85">
        <v>11627</v>
      </c>
      <c r="F221" s="84">
        <v>-11107.76</v>
      </c>
      <c r="G221" s="241">
        <v>519.23999999999978</v>
      </c>
      <c r="H221" s="119">
        <v>0.22841805767248732</v>
      </c>
      <c r="J221" s="67" t="s">
        <v>22</v>
      </c>
      <c r="K221" s="240">
        <v>925</v>
      </c>
      <c r="L221" s="241">
        <v>-705</v>
      </c>
      <c r="M221" s="242">
        <v>220</v>
      </c>
      <c r="N221" s="240">
        <v>925</v>
      </c>
      <c r="O221" s="241">
        <v>-961</v>
      </c>
      <c r="P221" s="242">
        <v>-36</v>
      </c>
      <c r="Q221" s="240">
        <v>925</v>
      </c>
      <c r="R221" s="241">
        <v>-917</v>
      </c>
      <c r="S221" s="242">
        <v>8</v>
      </c>
      <c r="T221" s="240">
        <v>965</v>
      </c>
      <c r="U221" s="241">
        <v>-908</v>
      </c>
      <c r="V221" s="242">
        <v>57</v>
      </c>
      <c r="W221" s="240">
        <v>950</v>
      </c>
      <c r="X221" s="241">
        <v>-935</v>
      </c>
      <c r="Y221" s="242">
        <v>15</v>
      </c>
      <c r="Z221" s="241">
        <v>785</v>
      </c>
      <c r="AA221" s="241">
        <v>-917</v>
      </c>
      <c r="AB221" s="241">
        <v>-132</v>
      </c>
      <c r="AC221" s="240">
        <v>950</v>
      </c>
      <c r="AD221" s="241">
        <v>-941</v>
      </c>
      <c r="AE221" s="242">
        <v>9</v>
      </c>
      <c r="AF221" s="240">
        <v>975</v>
      </c>
      <c r="AG221" s="241">
        <v>-550</v>
      </c>
      <c r="AH221" s="242">
        <v>425</v>
      </c>
      <c r="AI221" s="241">
        <v>975</v>
      </c>
      <c r="AJ221" s="241">
        <v>-944</v>
      </c>
      <c r="AK221" s="241">
        <v>31</v>
      </c>
      <c r="AL221" s="240">
        <v>1100</v>
      </c>
      <c r="AM221" s="241">
        <v>-1148.77</v>
      </c>
      <c r="AN221" s="242">
        <v>-48.769999999999982</v>
      </c>
      <c r="AO221" s="240">
        <v>1076</v>
      </c>
      <c r="AP221" s="241">
        <v>-1104.99</v>
      </c>
      <c r="AQ221" s="242">
        <v>-28.990000000000009</v>
      </c>
      <c r="AR221" s="240">
        <v>1076</v>
      </c>
      <c r="AS221" s="241">
        <v>-1076</v>
      </c>
      <c r="AT221" s="242">
        <v>0</v>
      </c>
    </row>
    <row r="222" spans="4:46" outlineLevel="2">
      <c r="D222" s="67" t="s">
        <v>23</v>
      </c>
      <c r="E222" s="85">
        <v>5486.2</v>
      </c>
      <c r="F222" s="84">
        <v>-5707.71</v>
      </c>
      <c r="G222" s="241">
        <v>-221.51000000000022</v>
      </c>
      <c r="H222" s="119">
        <v>0.11737236238069895</v>
      </c>
      <c r="J222" s="67" t="s">
        <v>23</v>
      </c>
      <c r="K222" s="240">
        <v>500</v>
      </c>
      <c r="L222" s="241">
        <v>-324.68</v>
      </c>
      <c r="M222" s="242">
        <v>175.32</v>
      </c>
      <c r="N222" s="240">
        <v>660</v>
      </c>
      <c r="O222" s="241">
        <v>-662.71</v>
      </c>
      <c r="P222" s="242">
        <v>-2.7100000000000364</v>
      </c>
      <c r="Q222" s="240">
        <v>600</v>
      </c>
      <c r="R222" s="241">
        <v>-524</v>
      </c>
      <c r="S222" s="242">
        <v>76</v>
      </c>
      <c r="T222" s="240">
        <v>0</v>
      </c>
      <c r="U222" s="241">
        <v>-527.04999999999995</v>
      </c>
      <c r="V222" s="242">
        <v>-527.04999999999995</v>
      </c>
      <c r="W222" s="240">
        <v>200</v>
      </c>
      <c r="X222" s="241">
        <v>-317.77999999999997</v>
      </c>
      <c r="Y222" s="242">
        <v>-117.77999999999997</v>
      </c>
      <c r="Z222" s="241">
        <v>176.2</v>
      </c>
      <c r="AA222" s="241">
        <v>-134</v>
      </c>
      <c r="AB222" s="241">
        <v>42.199999999999989</v>
      </c>
      <c r="AC222" s="240">
        <v>100</v>
      </c>
      <c r="AD222" s="241">
        <v>0</v>
      </c>
      <c r="AE222" s="242">
        <v>100</v>
      </c>
      <c r="AF222" s="240">
        <v>200</v>
      </c>
      <c r="AG222" s="241">
        <v>-370</v>
      </c>
      <c r="AH222" s="242">
        <v>-170</v>
      </c>
      <c r="AI222" s="241">
        <v>1600</v>
      </c>
      <c r="AJ222" s="241">
        <v>-1318.49</v>
      </c>
      <c r="AK222" s="241">
        <v>281.51</v>
      </c>
      <c r="AL222" s="240">
        <v>750</v>
      </c>
      <c r="AM222" s="241">
        <v>-742</v>
      </c>
      <c r="AN222" s="242">
        <v>8</v>
      </c>
      <c r="AO222" s="240">
        <v>200</v>
      </c>
      <c r="AP222" s="241">
        <v>-360</v>
      </c>
      <c r="AQ222" s="242">
        <v>-160</v>
      </c>
      <c r="AR222" s="240">
        <v>500</v>
      </c>
      <c r="AS222" s="241">
        <v>-427</v>
      </c>
      <c r="AT222" s="242">
        <v>73</v>
      </c>
    </row>
    <row r="223" spans="4:46" outlineLevel="2">
      <c r="D223" s="67" t="s">
        <v>24</v>
      </c>
      <c r="E223" s="85">
        <v>4113</v>
      </c>
      <c r="F223" s="84">
        <v>-3186.91</v>
      </c>
      <c r="G223" s="241">
        <v>926.09000000000015</v>
      </c>
      <c r="H223" s="119">
        <v>6.5535066672040676E-2</v>
      </c>
      <c r="J223" s="18" t="s">
        <v>24</v>
      </c>
      <c r="K223" s="240">
        <v>100</v>
      </c>
      <c r="L223" s="241">
        <v>-9.1</v>
      </c>
      <c r="M223" s="242">
        <v>90.9</v>
      </c>
      <c r="N223" s="240">
        <v>400</v>
      </c>
      <c r="O223" s="241">
        <v>-395</v>
      </c>
      <c r="P223" s="242">
        <v>5</v>
      </c>
      <c r="Q223" s="240">
        <v>70</v>
      </c>
      <c r="R223" s="241">
        <v>0</v>
      </c>
      <c r="S223" s="242">
        <v>70</v>
      </c>
      <c r="T223" s="240">
        <v>100</v>
      </c>
      <c r="U223" s="241">
        <v>0</v>
      </c>
      <c r="V223" s="242">
        <v>100</v>
      </c>
      <c r="W223" s="240">
        <v>733</v>
      </c>
      <c r="X223" s="241">
        <v>-733</v>
      </c>
      <c r="Y223" s="242">
        <v>0</v>
      </c>
      <c r="Z223" s="241">
        <v>1200</v>
      </c>
      <c r="AA223" s="241">
        <v>-1351.79</v>
      </c>
      <c r="AB223" s="241">
        <v>-151.78999999999996</v>
      </c>
      <c r="AC223" s="240">
        <v>100</v>
      </c>
      <c r="AD223" s="241">
        <v>0</v>
      </c>
      <c r="AE223" s="242">
        <v>100</v>
      </c>
      <c r="AF223" s="240">
        <v>100</v>
      </c>
      <c r="AG223" s="241">
        <v>0</v>
      </c>
      <c r="AH223" s="242">
        <v>100</v>
      </c>
      <c r="AI223" s="241">
        <v>400</v>
      </c>
      <c r="AJ223" s="241">
        <v>-340.02</v>
      </c>
      <c r="AK223" s="241">
        <v>59.980000000000018</v>
      </c>
      <c r="AL223" s="240">
        <v>100</v>
      </c>
      <c r="AM223" s="241">
        <v>0</v>
      </c>
      <c r="AN223" s="242">
        <v>100</v>
      </c>
      <c r="AO223" s="240">
        <v>710</v>
      </c>
      <c r="AP223" s="241">
        <v>-358</v>
      </c>
      <c r="AQ223" s="242">
        <v>352</v>
      </c>
      <c r="AR223" s="240">
        <v>100</v>
      </c>
      <c r="AS223" s="241">
        <v>0</v>
      </c>
      <c r="AT223" s="242">
        <v>100</v>
      </c>
    </row>
    <row r="224" spans="4:46" ht="13.5" outlineLevel="2" thickBot="1">
      <c r="D224" s="88" t="s">
        <v>25</v>
      </c>
      <c r="E224" s="85">
        <v>1049</v>
      </c>
      <c r="F224" s="84">
        <v>-612</v>
      </c>
      <c r="G224" s="241">
        <v>437</v>
      </c>
      <c r="H224" s="120">
        <v>1.2585062271381651E-2</v>
      </c>
      <c r="J224" s="30" t="s">
        <v>25</v>
      </c>
      <c r="K224" s="240">
        <v>40</v>
      </c>
      <c r="L224" s="241">
        <v>-24</v>
      </c>
      <c r="M224" s="247">
        <v>16</v>
      </c>
      <c r="N224" s="245">
        <v>400</v>
      </c>
      <c r="O224" s="246">
        <v>-395</v>
      </c>
      <c r="P224" s="247">
        <v>5</v>
      </c>
      <c r="Q224" s="245">
        <v>40</v>
      </c>
      <c r="R224" s="246">
        <v>0</v>
      </c>
      <c r="S224" s="247">
        <v>40</v>
      </c>
      <c r="T224" s="240">
        <v>50</v>
      </c>
      <c r="U224" s="241">
        <v>0</v>
      </c>
      <c r="V224" s="242">
        <v>50</v>
      </c>
      <c r="W224" s="240"/>
      <c r="X224" s="241"/>
      <c r="Y224" s="242"/>
      <c r="Z224" s="241">
        <v>0</v>
      </c>
      <c r="AA224" s="241">
        <v>0</v>
      </c>
      <c r="AB224" s="241">
        <v>0</v>
      </c>
      <c r="AC224" s="240">
        <v>100</v>
      </c>
      <c r="AD224" s="241">
        <v>0</v>
      </c>
      <c r="AE224" s="242">
        <v>100</v>
      </c>
      <c r="AF224" s="240">
        <v>119</v>
      </c>
      <c r="AG224" s="241">
        <v>-145</v>
      </c>
      <c r="AH224" s="242">
        <v>-26</v>
      </c>
      <c r="AI224" s="241">
        <v>100</v>
      </c>
      <c r="AJ224" s="241">
        <v>0</v>
      </c>
      <c r="AK224" s="241">
        <v>100</v>
      </c>
      <c r="AL224" s="240">
        <v>100</v>
      </c>
      <c r="AM224" s="241">
        <v>-48</v>
      </c>
      <c r="AN224" s="242">
        <v>52</v>
      </c>
      <c r="AO224" s="240">
        <v>0</v>
      </c>
      <c r="AP224" s="241">
        <v>0</v>
      </c>
      <c r="AQ224" s="242">
        <v>0</v>
      </c>
      <c r="AR224" s="240">
        <v>100</v>
      </c>
      <c r="AS224" s="241">
        <v>0</v>
      </c>
      <c r="AT224" s="242">
        <v>100</v>
      </c>
    </row>
    <row r="225" spans="4:46" ht="13.5" outlineLevel="2" thickBot="1">
      <c r="D225" s="72" t="s">
        <v>29</v>
      </c>
      <c r="E225" s="272">
        <f>SUM(E207:E224)</f>
        <v>49620.39</v>
      </c>
      <c r="F225" s="272">
        <f>SUM(F207:F224)</f>
        <v>-48543.22</v>
      </c>
      <c r="G225" s="272">
        <f>SUM(G207:G224)</f>
        <v>1077.1699999999992</v>
      </c>
      <c r="H225" s="2">
        <v>1.7656102068967785E-3</v>
      </c>
      <c r="J225" s="75" t="s">
        <v>27</v>
      </c>
      <c r="K225" s="264">
        <v>100</v>
      </c>
      <c r="L225" s="265">
        <v>-85.86</v>
      </c>
      <c r="M225" s="266">
        <v>14.14</v>
      </c>
      <c r="N225" s="87"/>
      <c r="O225" s="87"/>
      <c r="P225" s="90"/>
      <c r="Q225" s="89"/>
      <c r="R225" s="87"/>
      <c r="S225" s="90"/>
      <c r="T225" s="264"/>
      <c r="U225" s="265"/>
      <c r="V225" s="266"/>
      <c r="W225" s="264"/>
      <c r="X225" s="265"/>
      <c r="Y225" s="266"/>
      <c r="Z225" s="264"/>
      <c r="AA225" s="265"/>
      <c r="AB225" s="266"/>
      <c r="AC225" s="264"/>
      <c r="AD225" s="265"/>
      <c r="AE225" s="266"/>
      <c r="AF225" s="264">
        <v>1851</v>
      </c>
      <c r="AG225" s="265">
        <v>0</v>
      </c>
      <c r="AH225" s="266">
        <v>1851</v>
      </c>
      <c r="AI225" s="264">
        <v>0</v>
      </c>
      <c r="AJ225" s="265">
        <v>0</v>
      </c>
      <c r="AK225" s="266">
        <v>0</v>
      </c>
      <c r="AL225" s="264">
        <v>30</v>
      </c>
      <c r="AM225" s="265">
        <v>0</v>
      </c>
      <c r="AN225" s="266">
        <v>0</v>
      </c>
      <c r="AO225" s="264">
        <v>0</v>
      </c>
      <c r="AP225" s="265">
        <v>0</v>
      </c>
      <c r="AQ225" s="266">
        <v>0</v>
      </c>
      <c r="AR225" s="264">
        <v>0</v>
      </c>
      <c r="AS225" s="265">
        <v>0</v>
      </c>
      <c r="AT225" s="266">
        <v>0</v>
      </c>
    </row>
    <row r="226" spans="4:46" ht="14.1" customHeight="1" outlineLevel="2" thickBot="1">
      <c r="E226" s="705">
        <v>2017</v>
      </c>
      <c r="F226" s="706"/>
      <c r="G226" s="707"/>
      <c r="J226" s="58">
        <v>2017</v>
      </c>
      <c r="K226" s="710">
        <v>42736</v>
      </c>
      <c r="L226" s="711"/>
      <c r="M226" s="712"/>
      <c r="N226" s="710">
        <v>42767</v>
      </c>
      <c r="O226" s="711"/>
      <c r="P226" s="712"/>
      <c r="Q226" s="710">
        <v>42795</v>
      </c>
      <c r="R226" s="711"/>
      <c r="S226" s="712"/>
      <c r="T226" s="710">
        <v>42826</v>
      </c>
      <c r="U226" s="711"/>
      <c r="V226" s="712"/>
      <c r="W226" s="710">
        <v>42856</v>
      </c>
      <c r="X226" s="711"/>
      <c r="Y226" s="712"/>
      <c r="Z226" s="710">
        <v>42887</v>
      </c>
      <c r="AA226" s="711"/>
      <c r="AB226" s="712"/>
      <c r="AC226" s="710">
        <v>42917</v>
      </c>
      <c r="AD226" s="711"/>
      <c r="AE226" s="712"/>
      <c r="AF226" s="710">
        <v>42948</v>
      </c>
      <c r="AG226" s="711"/>
      <c r="AH226" s="712"/>
      <c r="AI226" s="710">
        <v>42979</v>
      </c>
      <c r="AJ226" s="711"/>
      <c r="AK226" s="712"/>
      <c r="AL226" s="710">
        <v>43009</v>
      </c>
      <c r="AM226" s="711"/>
      <c r="AN226" s="712"/>
      <c r="AO226" s="710">
        <v>43040</v>
      </c>
      <c r="AP226" s="711"/>
      <c r="AQ226" s="712"/>
      <c r="AR226" s="710">
        <v>43070</v>
      </c>
      <c r="AS226" s="711"/>
      <c r="AT226" s="712"/>
    </row>
    <row r="227" spans="4:46" ht="13.5" outlineLevel="2" thickBot="1">
      <c r="D227" s="59" t="s">
        <v>7</v>
      </c>
      <c r="E227" s="60" t="s">
        <v>60</v>
      </c>
      <c r="F227" s="61" t="s">
        <v>61</v>
      </c>
      <c r="G227" s="62" t="s">
        <v>62</v>
      </c>
      <c r="H227" s="63" t="s">
        <v>73</v>
      </c>
      <c r="J227" s="59" t="s">
        <v>7</v>
      </c>
      <c r="K227" s="261" t="s">
        <v>60</v>
      </c>
      <c r="L227" s="262" t="s">
        <v>61</v>
      </c>
      <c r="M227" s="263" t="s">
        <v>62</v>
      </c>
      <c r="N227" s="261" t="s">
        <v>60</v>
      </c>
      <c r="O227" s="262" t="s">
        <v>61</v>
      </c>
      <c r="P227" s="262" t="s">
        <v>62</v>
      </c>
      <c r="Q227" s="261" t="s">
        <v>60</v>
      </c>
      <c r="R227" s="262" t="s">
        <v>61</v>
      </c>
      <c r="S227" s="263" t="s">
        <v>62</v>
      </c>
      <c r="T227" s="261" t="s">
        <v>60</v>
      </c>
      <c r="U227" s="262" t="s">
        <v>61</v>
      </c>
      <c r="V227" s="263" t="s">
        <v>62</v>
      </c>
      <c r="W227" s="261" t="s">
        <v>60</v>
      </c>
      <c r="X227" s="262" t="s">
        <v>61</v>
      </c>
      <c r="Y227" s="263" t="s">
        <v>62</v>
      </c>
      <c r="Z227" s="261" t="s">
        <v>60</v>
      </c>
      <c r="AA227" s="262" t="s">
        <v>61</v>
      </c>
      <c r="AB227" s="263" t="s">
        <v>62</v>
      </c>
      <c r="AC227" s="261" t="s">
        <v>60</v>
      </c>
      <c r="AD227" s="262" t="s">
        <v>61</v>
      </c>
      <c r="AE227" s="263" t="s">
        <v>62</v>
      </c>
      <c r="AF227" s="261" t="s">
        <v>60</v>
      </c>
      <c r="AG227" s="262" t="s">
        <v>61</v>
      </c>
      <c r="AH227" s="263" t="s">
        <v>62</v>
      </c>
      <c r="AI227" s="261" t="s">
        <v>60</v>
      </c>
      <c r="AJ227" s="262" t="s">
        <v>61</v>
      </c>
      <c r="AK227" s="263" t="s">
        <v>62</v>
      </c>
      <c r="AL227" s="261" t="s">
        <v>60</v>
      </c>
      <c r="AM227" s="262" t="s">
        <v>61</v>
      </c>
      <c r="AN227" s="263" t="s">
        <v>62</v>
      </c>
      <c r="AO227" s="261" t="s">
        <v>60</v>
      </c>
      <c r="AP227" s="262" t="s">
        <v>61</v>
      </c>
      <c r="AQ227" s="263" t="s">
        <v>62</v>
      </c>
      <c r="AR227" s="261" t="s">
        <v>60</v>
      </c>
      <c r="AS227" s="262" t="s">
        <v>61</v>
      </c>
      <c r="AT227" s="263" t="s">
        <v>62</v>
      </c>
    </row>
    <row r="228" spans="4:46" outlineLevel="2">
      <c r="D228" s="64" t="s">
        <v>8</v>
      </c>
      <c r="E228" s="82">
        <v>1374</v>
      </c>
      <c r="F228" s="80">
        <v>-1543.82</v>
      </c>
      <c r="G228" s="236">
        <v>-169.81999999999994</v>
      </c>
      <c r="H228" s="66">
        <v>3.9443746005612124E-2</v>
      </c>
      <c r="J228" s="64" t="s">
        <v>8</v>
      </c>
      <c r="K228" s="235">
        <v>95</v>
      </c>
      <c r="L228" s="236">
        <v>-107.99</v>
      </c>
      <c r="M228" s="237">
        <v>-12.989999999999995</v>
      </c>
      <c r="N228" s="235">
        <v>95</v>
      </c>
      <c r="O228" s="236">
        <v>-107.99</v>
      </c>
      <c r="P228" s="237">
        <v>-12.989999999999995</v>
      </c>
      <c r="Q228" s="235">
        <v>95</v>
      </c>
      <c r="R228" s="236">
        <v>-107.99</v>
      </c>
      <c r="S228" s="237">
        <v>-12.989999999999995</v>
      </c>
      <c r="T228" s="235">
        <v>149</v>
      </c>
      <c r="U228" s="236">
        <v>-156.99</v>
      </c>
      <c r="V228" s="237">
        <v>-7.9900000000000091</v>
      </c>
      <c r="W228" s="235">
        <v>149</v>
      </c>
      <c r="X228" s="236">
        <v>-151.47999999999999</v>
      </c>
      <c r="Y228" s="237">
        <v>-2.4799999999999898</v>
      </c>
      <c r="Z228" s="236">
        <v>149</v>
      </c>
      <c r="AA228" s="236">
        <v>-151.47999999999999</v>
      </c>
      <c r="AB228" s="236">
        <v>-2.4799999999999898</v>
      </c>
      <c r="AC228" s="235">
        <v>151</v>
      </c>
      <c r="AD228" s="236">
        <v>-151.47999999999999</v>
      </c>
      <c r="AE228" s="237">
        <v>-0.47999999999998977</v>
      </c>
      <c r="AF228" s="235">
        <v>151</v>
      </c>
      <c r="AG228" s="236">
        <v>-151.97999999999999</v>
      </c>
      <c r="AH228" s="237">
        <v>-0.97999999999998977</v>
      </c>
      <c r="AI228" s="236">
        <v>75</v>
      </c>
      <c r="AJ228" s="236">
        <v>-151.44999999999999</v>
      </c>
      <c r="AK228" s="236">
        <v>-76.449999999999989</v>
      </c>
      <c r="AL228" s="235">
        <v>95</v>
      </c>
      <c r="AM228" s="236">
        <v>-151.44999999999999</v>
      </c>
      <c r="AN228" s="237">
        <v>-56.449999999999989</v>
      </c>
      <c r="AO228" s="235">
        <v>95</v>
      </c>
      <c r="AP228" s="236">
        <v>-153.54</v>
      </c>
      <c r="AQ228" s="237">
        <v>-58.539999999999992</v>
      </c>
      <c r="AR228" s="235">
        <v>75</v>
      </c>
      <c r="AS228" s="236">
        <v>-173.99</v>
      </c>
      <c r="AT228" s="237">
        <v>-98.990000000000009</v>
      </c>
    </row>
    <row r="229" spans="4:46" outlineLevel="2">
      <c r="D229" s="67" t="s">
        <v>9</v>
      </c>
      <c r="E229" s="85">
        <v>818.19</v>
      </c>
      <c r="F229" s="84">
        <v>-725.62</v>
      </c>
      <c r="G229" s="241">
        <v>92.57000000000005</v>
      </c>
      <c r="H229" s="69">
        <v>2.1871286898200778E-2</v>
      </c>
      <c r="J229" s="67" t="s">
        <v>9</v>
      </c>
      <c r="K229" s="240">
        <v>75</v>
      </c>
      <c r="L229" s="241">
        <v>-68.19</v>
      </c>
      <c r="M229" s="242">
        <v>6.8100000000000023</v>
      </c>
      <c r="N229" s="240">
        <v>75</v>
      </c>
      <c r="O229" s="241">
        <v>-75.19</v>
      </c>
      <c r="P229" s="242">
        <v>-0.18999999999999773</v>
      </c>
      <c r="Q229" s="240">
        <v>75</v>
      </c>
      <c r="R229" s="241">
        <v>-68.19</v>
      </c>
      <c r="S229" s="242">
        <v>6.8100000000000023</v>
      </c>
      <c r="T229" s="240">
        <v>68.19</v>
      </c>
      <c r="U229" s="241">
        <v>-68.19</v>
      </c>
      <c r="V229" s="242">
        <v>0</v>
      </c>
      <c r="W229" s="240">
        <v>75</v>
      </c>
      <c r="X229" s="241">
        <v>-68.19</v>
      </c>
      <c r="Y229" s="242">
        <v>6.8100000000000023</v>
      </c>
      <c r="Z229" s="241">
        <v>75</v>
      </c>
      <c r="AA229" s="241">
        <v>-68.19</v>
      </c>
      <c r="AB229" s="241">
        <v>6.8100000000000023</v>
      </c>
      <c r="AC229" s="240">
        <v>0</v>
      </c>
      <c r="AD229" s="241">
        <v>0</v>
      </c>
      <c r="AE229" s="242">
        <v>0</v>
      </c>
      <c r="AF229" s="240">
        <v>75</v>
      </c>
      <c r="AG229" s="241">
        <v>-74.959999999999994</v>
      </c>
      <c r="AH229" s="242">
        <v>4.0000000000006253E-2</v>
      </c>
      <c r="AI229" s="241">
        <v>75</v>
      </c>
      <c r="AJ229" s="241">
        <v>-73.28</v>
      </c>
      <c r="AK229" s="241">
        <v>1.7199999999999989</v>
      </c>
      <c r="AL229" s="240">
        <v>75</v>
      </c>
      <c r="AM229" s="241">
        <v>-73.28</v>
      </c>
      <c r="AN229" s="242">
        <v>1.7199999999999989</v>
      </c>
      <c r="AO229" s="240">
        <v>75</v>
      </c>
      <c r="AP229" s="241">
        <v>-87.96</v>
      </c>
      <c r="AQ229" s="242">
        <v>-12.959999999999994</v>
      </c>
      <c r="AR229" s="240">
        <v>75</v>
      </c>
      <c r="AS229" s="241">
        <v>-73.28</v>
      </c>
      <c r="AT229" s="242">
        <v>1.7199999999999989</v>
      </c>
    </row>
    <row r="230" spans="4:46" outlineLevel="2">
      <c r="D230" s="67" t="s">
        <v>10</v>
      </c>
      <c r="E230" s="85">
        <v>365</v>
      </c>
      <c r="F230" s="84">
        <v>0</v>
      </c>
      <c r="G230" s="241">
        <v>365</v>
      </c>
      <c r="H230" s="69">
        <v>6.5877370175303554E-4</v>
      </c>
      <c r="J230" s="67" t="s">
        <v>10</v>
      </c>
      <c r="K230" s="240">
        <v>25</v>
      </c>
      <c r="L230" s="241">
        <v>0</v>
      </c>
      <c r="M230" s="242">
        <v>25</v>
      </c>
      <c r="N230" s="240">
        <v>25</v>
      </c>
      <c r="O230" s="241">
        <v>0</v>
      </c>
      <c r="P230" s="242">
        <v>25</v>
      </c>
      <c r="Q230" s="240">
        <v>25</v>
      </c>
      <c r="R230" s="241">
        <v>0</v>
      </c>
      <c r="S230" s="242">
        <v>25</v>
      </c>
      <c r="T230" s="240">
        <v>25</v>
      </c>
      <c r="U230" s="241">
        <v>0</v>
      </c>
      <c r="V230" s="242">
        <v>25</v>
      </c>
      <c r="W230" s="240">
        <v>40</v>
      </c>
      <c r="X230" s="241">
        <v>0</v>
      </c>
      <c r="Y230" s="242">
        <v>40</v>
      </c>
      <c r="Z230" s="241">
        <v>40</v>
      </c>
      <c r="AA230" s="241">
        <v>0</v>
      </c>
      <c r="AB230" s="241">
        <v>40</v>
      </c>
      <c r="AC230" s="240">
        <v>30</v>
      </c>
      <c r="AD230" s="241">
        <v>0</v>
      </c>
      <c r="AE230" s="242">
        <v>30</v>
      </c>
      <c r="AF230" s="240">
        <v>30</v>
      </c>
      <c r="AG230" s="241">
        <v>0</v>
      </c>
      <c r="AH230" s="242">
        <v>30</v>
      </c>
      <c r="AI230" s="241">
        <v>50</v>
      </c>
      <c r="AJ230" s="241">
        <v>0</v>
      </c>
      <c r="AK230" s="241">
        <v>50</v>
      </c>
      <c r="AL230" s="240">
        <v>0</v>
      </c>
      <c r="AM230" s="241">
        <v>0</v>
      </c>
      <c r="AN230" s="242">
        <v>0</v>
      </c>
      <c r="AO230" s="240">
        <v>25</v>
      </c>
      <c r="AP230" s="241">
        <v>0</v>
      </c>
      <c r="AQ230" s="242">
        <v>25</v>
      </c>
      <c r="AR230" s="240">
        <v>50</v>
      </c>
      <c r="AS230" s="241">
        <v>0</v>
      </c>
      <c r="AT230" s="242">
        <v>50</v>
      </c>
    </row>
    <row r="231" spans="4:46" outlineLevel="2">
      <c r="D231" s="67" t="s">
        <v>11</v>
      </c>
      <c r="E231" s="85">
        <v>510</v>
      </c>
      <c r="F231" s="84">
        <v>-819.96</v>
      </c>
      <c r="G231" s="241">
        <v>-309.96000000000004</v>
      </c>
      <c r="H231" s="69">
        <v>8.5222259927281441E-3</v>
      </c>
      <c r="J231" s="67" t="s">
        <v>11</v>
      </c>
      <c r="K231" s="240">
        <v>50</v>
      </c>
      <c r="L231" s="241">
        <v>0</v>
      </c>
      <c r="M231" s="242">
        <v>50</v>
      </c>
      <c r="N231" s="240">
        <v>50</v>
      </c>
      <c r="O231" s="241">
        <v>0</v>
      </c>
      <c r="P231" s="242">
        <v>50</v>
      </c>
      <c r="Q231" s="240">
        <v>0</v>
      </c>
      <c r="R231" s="241">
        <v>0</v>
      </c>
      <c r="S231" s="242">
        <v>0</v>
      </c>
      <c r="T231" s="240">
        <v>50</v>
      </c>
      <c r="U231" s="241">
        <v>-101.87</v>
      </c>
      <c r="V231" s="242">
        <v>-51.870000000000005</v>
      </c>
      <c r="W231" s="240">
        <v>50</v>
      </c>
      <c r="X231" s="241">
        <v>-200</v>
      </c>
      <c r="Y231" s="242">
        <v>-150</v>
      </c>
      <c r="Z231" s="241">
        <v>50</v>
      </c>
      <c r="AA231" s="241">
        <v>-103</v>
      </c>
      <c r="AB231" s="241">
        <v>-53</v>
      </c>
      <c r="AC231" s="240">
        <v>30</v>
      </c>
      <c r="AD231" s="241">
        <v>-84.78</v>
      </c>
      <c r="AE231" s="242">
        <v>-54.78</v>
      </c>
      <c r="AF231" s="240">
        <v>30</v>
      </c>
      <c r="AG231" s="241">
        <v>0</v>
      </c>
      <c r="AH231" s="242">
        <v>30</v>
      </c>
      <c r="AI231" s="241">
        <v>50</v>
      </c>
      <c r="AJ231" s="241">
        <v>0</v>
      </c>
      <c r="AK231" s="241">
        <v>50</v>
      </c>
      <c r="AL231" s="240">
        <v>50</v>
      </c>
      <c r="AM231" s="241">
        <v>-41.31</v>
      </c>
      <c r="AN231" s="242">
        <v>8.6899999999999977</v>
      </c>
      <c r="AO231" s="240">
        <v>50</v>
      </c>
      <c r="AP231" s="241">
        <v>-289</v>
      </c>
      <c r="AQ231" s="242">
        <v>-239</v>
      </c>
      <c r="AR231" s="240">
        <v>50</v>
      </c>
      <c r="AS231" s="241">
        <v>0</v>
      </c>
      <c r="AT231" s="242">
        <v>50</v>
      </c>
    </row>
    <row r="232" spans="4:46" outlineLevel="2">
      <c r="D232" s="67" t="s">
        <v>75</v>
      </c>
      <c r="E232" s="85">
        <v>76</v>
      </c>
      <c r="F232" s="84">
        <v>0</v>
      </c>
      <c r="G232" s="241">
        <v>76</v>
      </c>
      <c r="H232" s="69">
        <v>0</v>
      </c>
      <c r="J232" s="67" t="s">
        <v>75</v>
      </c>
      <c r="K232" s="240">
        <v>0</v>
      </c>
      <c r="L232" s="241">
        <v>0</v>
      </c>
      <c r="M232" s="242">
        <v>0</v>
      </c>
      <c r="N232" s="240">
        <v>0</v>
      </c>
      <c r="O232" s="241">
        <v>0</v>
      </c>
      <c r="P232" s="242">
        <v>0</v>
      </c>
      <c r="Q232" s="240">
        <v>0</v>
      </c>
      <c r="R232" s="241">
        <v>0</v>
      </c>
      <c r="S232" s="242">
        <v>0</v>
      </c>
      <c r="T232" s="240">
        <v>0</v>
      </c>
      <c r="U232" s="241">
        <v>0</v>
      </c>
      <c r="V232" s="242">
        <v>0</v>
      </c>
      <c r="W232" s="240">
        <v>0</v>
      </c>
      <c r="X232" s="241">
        <v>0</v>
      </c>
      <c r="Y232" s="242">
        <v>0</v>
      </c>
      <c r="Z232" s="241">
        <v>0</v>
      </c>
      <c r="AA232" s="241">
        <v>0</v>
      </c>
      <c r="AB232" s="241">
        <v>0</v>
      </c>
      <c r="AC232" s="240">
        <v>0</v>
      </c>
      <c r="AD232" s="241">
        <v>0</v>
      </c>
      <c r="AE232" s="242">
        <v>0</v>
      </c>
      <c r="AF232" s="240">
        <v>0</v>
      </c>
      <c r="AG232" s="241">
        <v>0</v>
      </c>
      <c r="AH232" s="242">
        <v>0</v>
      </c>
      <c r="AI232" s="241">
        <v>38</v>
      </c>
      <c r="AJ232" s="241">
        <v>0</v>
      </c>
      <c r="AK232" s="241">
        <v>38</v>
      </c>
      <c r="AL232" s="240">
        <v>0</v>
      </c>
      <c r="AM232" s="241">
        <v>0</v>
      </c>
      <c r="AN232" s="242">
        <v>0</v>
      </c>
      <c r="AO232" s="240">
        <v>0</v>
      </c>
      <c r="AP232" s="241">
        <v>0</v>
      </c>
      <c r="AQ232" s="242">
        <v>0</v>
      </c>
      <c r="AR232" s="240">
        <v>0</v>
      </c>
      <c r="AS232" s="241">
        <v>0</v>
      </c>
      <c r="AT232" s="242">
        <v>0</v>
      </c>
    </row>
    <row r="233" spans="4:46" outlineLevel="2">
      <c r="D233" s="67" t="s">
        <v>13</v>
      </c>
      <c r="E233" s="85">
        <v>6050</v>
      </c>
      <c r="F233" s="84">
        <v>-9145.1889999999985</v>
      </c>
      <c r="G233" s="241">
        <v>-3095.1889999999985</v>
      </c>
      <c r="H233" s="69">
        <v>0.24957444058803227</v>
      </c>
      <c r="J233" s="67" t="s">
        <v>13</v>
      </c>
      <c r="K233" s="240">
        <v>550</v>
      </c>
      <c r="L233" s="241">
        <v>-591.94999999999993</v>
      </c>
      <c r="M233" s="242">
        <v>-41.949999999999932</v>
      </c>
      <c r="N233" s="240">
        <v>350</v>
      </c>
      <c r="O233" s="241">
        <v>-869.44</v>
      </c>
      <c r="P233" s="242">
        <v>-519.44000000000005</v>
      </c>
      <c r="Q233" s="240">
        <v>1000</v>
      </c>
      <c r="R233" s="241">
        <v>-976.63999999999987</v>
      </c>
      <c r="S233" s="242">
        <v>23.360000000000127</v>
      </c>
      <c r="T233" s="240">
        <v>400</v>
      </c>
      <c r="U233" s="241">
        <v>-481.22</v>
      </c>
      <c r="V233" s="242">
        <v>-81.220000000000027</v>
      </c>
      <c r="W233" s="240">
        <v>300</v>
      </c>
      <c r="X233" s="241">
        <v>-380.64</v>
      </c>
      <c r="Y233" s="242">
        <v>-80.639999999999986</v>
      </c>
      <c r="Z233" s="241">
        <v>1000</v>
      </c>
      <c r="AA233" s="241">
        <v>-1094</v>
      </c>
      <c r="AB233" s="241">
        <v>-94</v>
      </c>
      <c r="AC233" s="240">
        <v>250</v>
      </c>
      <c r="AD233" s="241">
        <v>-909.91</v>
      </c>
      <c r="AE233" s="242">
        <v>-659.91</v>
      </c>
      <c r="AF233" s="240">
        <v>250</v>
      </c>
      <c r="AG233" s="241">
        <v>-710.36</v>
      </c>
      <c r="AH233" s="242">
        <v>-460.36</v>
      </c>
      <c r="AI233" s="241">
        <v>500</v>
      </c>
      <c r="AJ233" s="241">
        <v>-1052.92</v>
      </c>
      <c r="AK233" s="241">
        <v>-552.92000000000007</v>
      </c>
      <c r="AL233" s="240">
        <v>850</v>
      </c>
      <c r="AM233" s="241">
        <v>-1127.069</v>
      </c>
      <c r="AN233" s="242">
        <v>-277.06899999999996</v>
      </c>
      <c r="AO233" s="240">
        <v>300</v>
      </c>
      <c r="AP233" s="241">
        <v>-951.04</v>
      </c>
      <c r="AQ233" s="242">
        <v>-651.04</v>
      </c>
      <c r="AR233" s="240">
        <v>300</v>
      </c>
      <c r="AS233" s="241">
        <v>-1584.3</v>
      </c>
      <c r="AT233" s="242">
        <v>-1284.3</v>
      </c>
    </row>
    <row r="234" spans="4:46" outlineLevel="2">
      <c r="D234" s="70" t="s">
        <v>14</v>
      </c>
      <c r="E234" s="85">
        <v>2820</v>
      </c>
      <c r="F234" s="84">
        <v>-3337.8600000000006</v>
      </c>
      <c r="G234" s="241">
        <v>-517.86000000000058</v>
      </c>
      <c r="H234" s="69">
        <v>6.7135627945651852E-2</v>
      </c>
      <c r="J234" s="70" t="s">
        <v>14</v>
      </c>
      <c r="K234" s="240">
        <v>400</v>
      </c>
      <c r="L234" s="241">
        <v>-391.69</v>
      </c>
      <c r="M234" s="242">
        <v>8.3100000000000023</v>
      </c>
      <c r="N234" s="240">
        <v>550</v>
      </c>
      <c r="O234" s="241">
        <v>-547.38</v>
      </c>
      <c r="P234" s="242">
        <v>2.6200000000000045</v>
      </c>
      <c r="Q234" s="240">
        <v>370</v>
      </c>
      <c r="R234" s="241">
        <v>-364.24</v>
      </c>
      <c r="S234" s="242">
        <v>5.7599999999999909</v>
      </c>
      <c r="T234" s="240">
        <v>300</v>
      </c>
      <c r="U234" s="241">
        <v>-269.72000000000003</v>
      </c>
      <c r="V234" s="242">
        <v>30.279999999999973</v>
      </c>
      <c r="W234" s="240">
        <v>400</v>
      </c>
      <c r="X234" s="241">
        <v>-396.38</v>
      </c>
      <c r="Y234" s="242">
        <v>3.6200000000000045</v>
      </c>
      <c r="Z234" s="241">
        <v>100</v>
      </c>
      <c r="AA234" s="241">
        <v>-111</v>
      </c>
      <c r="AB234" s="241">
        <v>-11</v>
      </c>
      <c r="AC234" s="240">
        <v>75</v>
      </c>
      <c r="AD234" s="241">
        <v>-171.59</v>
      </c>
      <c r="AE234" s="242">
        <v>-96.59</v>
      </c>
      <c r="AF234" s="240">
        <v>75</v>
      </c>
      <c r="AG234" s="241">
        <v>-484.57</v>
      </c>
      <c r="AH234" s="242">
        <v>-409.57</v>
      </c>
      <c r="AI234" s="241">
        <v>150</v>
      </c>
      <c r="AJ234" s="241">
        <v>-44.03</v>
      </c>
      <c r="AK234" s="241">
        <v>105.97</v>
      </c>
      <c r="AL234" s="240">
        <v>200</v>
      </c>
      <c r="AM234" s="241">
        <v>-305.36</v>
      </c>
      <c r="AN234" s="242">
        <v>-105.36000000000001</v>
      </c>
      <c r="AO234" s="240">
        <v>100</v>
      </c>
      <c r="AP234" s="241">
        <v>-251.89999999999998</v>
      </c>
      <c r="AQ234" s="242">
        <v>-151.89999999999998</v>
      </c>
      <c r="AR234" s="240">
        <v>600</v>
      </c>
      <c r="AS234" s="241">
        <v>-477.24</v>
      </c>
      <c r="AT234" s="242">
        <v>122.75999999999999</v>
      </c>
    </row>
    <row r="235" spans="4:46" outlineLevel="2">
      <c r="D235" s="67" t="s">
        <v>15</v>
      </c>
      <c r="E235" s="85">
        <v>2490</v>
      </c>
      <c r="F235" s="84">
        <v>-2661.15</v>
      </c>
      <c r="G235" s="241">
        <v>-171.15000000000009</v>
      </c>
      <c r="H235" s="69">
        <v>6.6948536214353982E-2</v>
      </c>
      <c r="J235" s="67" t="s">
        <v>15</v>
      </c>
      <c r="K235" s="240">
        <v>200</v>
      </c>
      <c r="L235" s="241">
        <v>-257.77</v>
      </c>
      <c r="M235" s="242">
        <v>-57.769999999999982</v>
      </c>
      <c r="N235" s="240">
        <v>200</v>
      </c>
      <c r="O235" s="241">
        <v>-180</v>
      </c>
      <c r="P235" s="242">
        <v>20</v>
      </c>
      <c r="Q235" s="240">
        <v>200</v>
      </c>
      <c r="R235" s="241">
        <v>-299.98</v>
      </c>
      <c r="S235" s="242">
        <v>-99.980000000000018</v>
      </c>
      <c r="T235" s="240">
        <v>200</v>
      </c>
      <c r="U235" s="241">
        <v>-231.4</v>
      </c>
      <c r="V235" s="242">
        <v>-31.400000000000006</v>
      </c>
      <c r="W235" s="240">
        <v>200</v>
      </c>
      <c r="X235" s="241">
        <v>-155.34</v>
      </c>
      <c r="Y235" s="242">
        <v>44.66</v>
      </c>
      <c r="Z235" s="241">
        <v>200</v>
      </c>
      <c r="AA235" s="241">
        <v>-211.13</v>
      </c>
      <c r="AB235" s="241">
        <v>-11.129999999999995</v>
      </c>
      <c r="AC235" s="240">
        <v>220</v>
      </c>
      <c r="AD235" s="241">
        <v>-398</v>
      </c>
      <c r="AE235" s="242">
        <v>-178</v>
      </c>
      <c r="AF235" s="240">
        <v>220</v>
      </c>
      <c r="AG235" s="241">
        <v>-227</v>
      </c>
      <c r="AH235" s="242">
        <v>-7</v>
      </c>
      <c r="AI235" s="241">
        <v>200</v>
      </c>
      <c r="AJ235" s="241">
        <v>-312.34000000000003</v>
      </c>
      <c r="AK235" s="241">
        <v>-112.34000000000003</v>
      </c>
      <c r="AL235" s="240">
        <v>250</v>
      </c>
      <c r="AM235" s="241">
        <v>-305.19</v>
      </c>
      <c r="AN235" s="242">
        <v>-55.19</v>
      </c>
      <c r="AO235" s="240">
        <v>200</v>
      </c>
      <c r="AP235" s="241">
        <v>-83</v>
      </c>
      <c r="AQ235" s="242">
        <v>117</v>
      </c>
      <c r="AR235" s="240">
        <v>200</v>
      </c>
      <c r="AS235" s="241">
        <v>-229.65</v>
      </c>
      <c r="AT235" s="242">
        <v>-29.650000000000006</v>
      </c>
    </row>
    <row r="236" spans="4:46" outlineLevel="2">
      <c r="D236" s="67" t="s">
        <v>16</v>
      </c>
      <c r="E236" s="85">
        <v>1836</v>
      </c>
      <c r="F236" s="84">
        <v>-1446.25</v>
      </c>
      <c r="G236" s="241">
        <v>389.75</v>
      </c>
      <c r="H236" s="69">
        <v>1.0540379228048569E-2</v>
      </c>
      <c r="J236" s="67" t="s">
        <v>16</v>
      </c>
      <c r="K236" s="240">
        <v>0</v>
      </c>
      <c r="L236" s="241">
        <v>0</v>
      </c>
      <c r="M236" s="242">
        <v>0</v>
      </c>
      <c r="N236" s="240">
        <v>100</v>
      </c>
      <c r="O236" s="241">
        <v>0</v>
      </c>
      <c r="P236" s="242">
        <v>100</v>
      </c>
      <c r="Q236" s="240">
        <v>50</v>
      </c>
      <c r="R236" s="241">
        <v>-50.83</v>
      </c>
      <c r="S236" s="242">
        <v>-0.82999999999999829</v>
      </c>
      <c r="T236" s="240">
        <v>0</v>
      </c>
      <c r="U236" s="241">
        <v>0</v>
      </c>
      <c r="V236" s="242">
        <v>0</v>
      </c>
      <c r="W236" s="240">
        <v>150</v>
      </c>
      <c r="X236" s="241">
        <v>-147.42000000000002</v>
      </c>
      <c r="Y236" s="242">
        <v>2.5799999999999841</v>
      </c>
      <c r="Z236" s="241">
        <v>50</v>
      </c>
      <c r="AA236" s="241">
        <v>0</v>
      </c>
      <c r="AB236" s="241">
        <v>50</v>
      </c>
      <c r="AC236" s="240">
        <v>200</v>
      </c>
      <c r="AD236" s="241">
        <v>-190</v>
      </c>
      <c r="AE236" s="242">
        <v>10</v>
      </c>
      <c r="AF236" s="240">
        <v>0</v>
      </c>
      <c r="AG236" s="241">
        <v>0</v>
      </c>
      <c r="AH236" s="242">
        <v>0</v>
      </c>
      <c r="AI236" s="241">
        <v>150</v>
      </c>
      <c r="AJ236" s="241">
        <v>0</v>
      </c>
      <c r="AK236" s="241">
        <v>150</v>
      </c>
      <c r="AL236" s="240">
        <v>0</v>
      </c>
      <c r="AM236" s="241">
        <v>-72</v>
      </c>
      <c r="AN236" s="242">
        <v>-72</v>
      </c>
      <c r="AO236" s="240">
        <v>986</v>
      </c>
      <c r="AP236" s="241">
        <v>-986</v>
      </c>
      <c r="AQ236" s="242">
        <v>0</v>
      </c>
      <c r="AR236" s="240">
        <v>745</v>
      </c>
      <c r="AS236" s="241">
        <v>-935.93000000000006</v>
      </c>
      <c r="AT236" s="242">
        <v>-190.93000000000006</v>
      </c>
    </row>
    <row r="237" spans="4:46" outlineLevel="2">
      <c r="D237" s="67" t="s">
        <v>17</v>
      </c>
      <c r="E237" s="85">
        <v>2100</v>
      </c>
      <c r="F237" s="84">
        <v>-2195.0599999999995</v>
      </c>
      <c r="G237" s="241">
        <v>-95.059999999999491</v>
      </c>
      <c r="H237" s="69">
        <v>4.2721440961225557E-2</v>
      </c>
      <c r="J237" s="67" t="s">
        <v>17</v>
      </c>
      <c r="K237" s="240">
        <v>300</v>
      </c>
      <c r="L237" s="241">
        <v>-427.05999999999995</v>
      </c>
      <c r="M237" s="242">
        <v>-127.05999999999995</v>
      </c>
      <c r="N237" s="240">
        <v>100</v>
      </c>
      <c r="O237" s="241">
        <v>-148.65</v>
      </c>
      <c r="P237" s="242">
        <v>-48.650000000000006</v>
      </c>
      <c r="Q237" s="240">
        <v>100</v>
      </c>
      <c r="R237" s="241">
        <v>-244.6</v>
      </c>
      <c r="S237" s="242">
        <v>-144.6</v>
      </c>
      <c r="T237" s="240">
        <v>400</v>
      </c>
      <c r="U237" s="241">
        <v>-369.64</v>
      </c>
      <c r="V237" s="242">
        <v>30.360000000000014</v>
      </c>
      <c r="W237" s="240">
        <v>150</v>
      </c>
      <c r="X237" s="241">
        <v>-420.3</v>
      </c>
      <c r="Y237" s="242">
        <v>-270.3</v>
      </c>
      <c r="Z237" s="241">
        <v>150</v>
      </c>
      <c r="AA237" s="241">
        <v>-133.79</v>
      </c>
      <c r="AB237" s="241">
        <v>16.210000000000008</v>
      </c>
      <c r="AC237" s="240">
        <v>150</v>
      </c>
      <c r="AD237" s="241">
        <v>-72.02</v>
      </c>
      <c r="AE237" s="242">
        <v>77.98</v>
      </c>
      <c r="AF237" s="240">
        <v>150</v>
      </c>
      <c r="AG237" s="241">
        <v>-173</v>
      </c>
      <c r="AH237" s="242">
        <v>-23</v>
      </c>
      <c r="AI237" s="241">
        <v>150</v>
      </c>
      <c r="AJ237" s="241">
        <v>-190</v>
      </c>
      <c r="AK237" s="241">
        <v>-40</v>
      </c>
      <c r="AL237" s="240">
        <v>150</v>
      </c>
      <c r="AM237" s="241">
        <v>0</v>
      </c>
      <c r="AN237" s="242">
        <v>150</v>
      </c>
      <c r="AO237" s="240">
        <v>150</v>
      </c>
      <c r="AP237" s="241">
        <v>-16</v>
      </c>
      <c r="AQ237" s="242">
        <v>134</v>
      </c>
      <c r="AR237" s="240">
        <v>150</v>
      </c>
      <c r="AS237" s="241">
        <v>0</v>
      </c>
      <c r="AT237" s="242">
        <v>150</v>
      </c>
    </row>
    <row r="238" spans="4:46" outlineLevel="2">
      <c r="D238" s="67" t="s">
        <v>18</v>
      </c>
      <c r="E238" s="85">
        <v>667</v>
      </c>
      <c r="F238" s="84">
        <v>-1035.99</v>
      </c>
      <c r="G238" s="241">
        <v>-368.99</v>
      </c>
      <c r="H238" s="69">
        <v>1.7299726794885589E-2</v>
      </c>
      <c r="J238" s="67" t="s">
        <v>18</v>
      </c>
      <c r="K238" s="240">
        <v>120</v>
      </c>
      <c r="L238" s="241">
        <v>-118</v>
      </c>
      <c r="M238" s="242">
        <v>2</v>
      </c>
      <c r="N238" s="240">
        <v>0</v>
      </c>
      <c r="O238" s="241">
        <v>-119</v>
      </c>
      <c r="P238" s="242">
        <v>-119</v>
      </c>
      <c r="Q238" s="240">
        <v>119</v>
      </c>
      <c r="R238" s="241">
        <v>-119</v>
      </c>
      <c r="S238" s="242">
        <v>0</v>
      </c>
      <c r="T238" s="240">
        <v>119</v>
      </c>
      <c r="U238" s="241">
        <v>-119</v>
      </c>
      <c r="V238" s="242">
        <v>0</v>
      </c>
      <c r="W238" s="240">
        <v>119</v>
      </c>
      <c r="X238" s="241">
        <v>-120.99000000000001</v>
      </c>
      <c r="Y238" s="242">
        <v>-1.9900000000000091</v>
      </c>
      <c r="Z238" s="241">
        <v>30</v>
      </c>
      <c r="AA238" s="241">
        <v>-40</v>
      </c>
      <c r="AB238" s="241">
        <v>-10</v>
      </c>
      <c r="AC238" s="240">
        <v>40</v>
      </c>
      <c r="AD238" s="241">
        <v>-79</v>
      </c>
      <c r="AE238" s="242">
        <v>-39</v>
      </c>
      <c r="AF238" s="240">
        <v>0</v>
      </c>
      <c r="AG238" s="241">
        <v>-84</v>
      </c>
      <c r="AH238" s="242">
        <v>-84</v>
      </c>
      <c r="AI238" s="241">
        <v>30</v>
      </c>
      <c r="AJ238" s="241">
        <v>-79</v>
      </c>
      <c r="AK238" s="241">
        <v>-49</v>
      </c>
      <c r="AL238" s="240">
        <v>30</v>
      </c>
      <c r="AM238" s="241">
        <v>-79</v>
      </c>
      <c r="AN238" s="242">
        <v>-49</v>
      </c>
      <c r="AO238" s="240">
        <v>30</v>
      </c>
      <c r="AP238" s="241">
        <v>-79</v>
      </c>
      <c r="AQ238" s="242">
        <v>-49</v>
      </c>
      <c r="AR238" s="240">
        <v>30</v>
      </c>
      <c r="AS238" s="241">
        <v>-84</v>
      </c>
      <c r="AT238" s="242">
        <v>-54</v>
      </c>
    </row>
    <row r="239" spans="4:46" outlineLevel="2">
      <c r="D239" s="67" t="s">
        <v>19</v>
      </c>
      <c r="E239" s="85">
        <v>3934</v>
      </c>
      <c r="F239" s="84">
        <v>0</v>
      </c>
      <c r="G239" s="241">
        <v>3934</v>
      </c>
      <c r="H239" s="69">
        <v>0.1082622113723921</v>
      </c>
      <c r="J239" s="67" t="s">
        <v>19</v>
      </c>
      <c r="K239" s="240">
        <v>846</v>
      </c>
      <c r="L239" s="241">
        <v>0</v>
      </c>
      <c r="M239" s="242">
        <v>846</v>
      </c>
      <c r="N239" s="240">
        <v>1042</v>
      </c>
      <c r="O239" s="241">
        <v>0</v>
      </c>
      <c r="P239" s="242">
        <v>1042</v>
      </c>
      <c r="Q239" s="240">
        <v>0</v>
      </c>
      <c r="R239" s="241">
        <v>0</v>
      </c>
      <c r="S239" s="242">
        <v>0</v>
      </c>
      <c r="T239" s="240">
        <v>0</v>
      </c>
      <c r="U239" s="241">
        <v>0</v>
      </c>
      <c r="V239" s="242">
        <v>0</v>
      </c>
      <c r="W239" s="240">
        <v>0</v>
      </c>
      <c r="X239" s="241">
        <v>0</v>
      </c>
      <c r="Y239" s="242">
        <v>0</v>
      </c>
      <c r="Z239" s="241">
        <v>0</v>
      </c>
      <c r="AA239" s="241">
        <v>0</v>
      </c>
      <c r="AB239" s="241">
        <v>0</v>
      </c>
      <c r="AC239" s="240">
        <v>0</v>
      </c>
      <c r="AD239" s="241">
        <v>0</v>
      </c>
      <c r="AE239" s="242">
        <v>0</v>
      </c>
      <c r="AF239" s="240">
        <v>300</v>
      </c>
      <c r="AG239" s="241">
        <v>0</v>
      </c>
      <c r="AH239" s="242">
        <v>300</v>
      </c>
      <c r="AI239" s="241">
        <v>0</v>
      </c>
      <c r="AJ239" s="241">
        <v>0</v>
      </c>
      <c r="AK239" s="241">
        <v>0</v>
      </c>
      <c r="AL239" s="240">
        <v>0</v>
      </c>
      <c r="AM239" s="241">
        <v>0</v>
      </c>
      <c r="AN239" s="242">
        <v>0</v>
      </c>
      <c r="AO239" s="240">
        <v>0</v>
      </c>
      <c r="AP239" s="241">
        <v>0</v>
      </c>
      <c r="AQ239" s="242">
        <v>0</v>
      </c>
      <c r="AR239" s="240">
        <v>0</v>
      </c>
      <c r="AS239" s="241">
        <v>0</v>
      </c>
      <c r="AT239" s="242">
        <v>0</v>
      </c>
    </row>
    <row r="240" spans="4:46" outlineLevel="2">
      <c r="D240" s="67" t="s">
        <v>20</v>
      </c>
      <c r="E240" s="85">
        <v>1832</v>
      </c>
      <c r="F240" s="84">
        <v>-2736.42</v>
      </c>
      <c r="G240" s="241">
        <v>-904.42000000000007</v>
      </c>
      <c r="H240" s="69">
        <v>5.7990202031065335E-2</v>
      </c>
      <c r="J240" s="67" t="s">
        <v>20</v>
      </c>
      <c r="K240" s="240">
        <v>100</v>
      </c>
      <c r="L240" s="241">
        <v>-59.74</v>
      </c>
      <c r="M240" s="242">
        <v>40.26</v>
      </c>
      <c r="N240" s="240">
        <v>100</v>
      </c>
      <c r="O240" s="241">
        <v>-140.62</v>
      </c>
      <c r="P240" s="242">
        <v>-40.620000000000005</v>
      </c>
      <c r="Q240" s="240">
        <v>100</v>
      </c>
      <c r="R240" s="241">
        <v>-363.53999999999996</v>
      </c>
      <c r="S240" s="242">
        <v>-263.53999999999996</v>
      </c>
      <c r="T240" s="240">
        <v>100</v>
      </c>
      <c r="U240" s="241">
        <v>-8.1499999999999986</v>
      </c>
      <c r="V240" s="242">
        <v>91.85</v>
      </c>
      <c r="W240" s="240">
        <v>150</v>
      </c>
      <c r="X240" s="241">
        <v>-261.5</v>
      </c>
      <c r="Y240" s="242">
        <v>-111.5</v>
      </c>
      <c r="Z240" s="241">
        <v>888</v>
      </c>
      <c r="AA240" s="241">
        <v>-953</v>
      </c>
      <c r="AB240" s="241">
        <v>-65</v>
      </c>
      <c r="AC240" s="240">
        <v>70</v>
      </c>
      <c r="AD240" s="241">
        <v>-28.09</v>
      </c>
      <c r="AE240" s="242">
        <v>41.91</v>
      </c>
      <c r="AF240" s="240">
        <v>70</v>
      </c>
      <c r="AG240" s="241">
        <v>-382.15</v>
      </c>
      <c r="AH240" s="242">
        <v>-312.14999999999998</v>
      </c>
      <c r="AI240" s="241">
        <v>50</v>
      </c>
      <c r="AJ240" s="241">
        <v>-219.5</v>
      </c>
      <c r="AK240" s="241">
        <v>-169.5</v>
      </c>
      <c r="AL240" s="240">
        <v>104</v>
      </c>
      <c r="AM240" s="241">
        <v>-162.13</v>
      </c>
      <c r="AN240" s="242">
        <v>-58.129999999999995</v>
      </c>
      <c r="AO240" s="240">
        <v>50</v>
      </c>
      <c r="AP240" s="241">
        <v>-158</v>
      </c>
      <c r="AQ240" s="242">
        <v>-108</v>
      </c>
      <c r="AR240" s="240">
        <v>50</v>
      </c>
      <c r="AS240" s="241">
        <v>-236.16</v>
      </c>
      <c r="AT240" s="242">
        <v>-186.16</v>
      </c>
    </row>
    <row r="241" spans="4:46" outlineLevel="2">
      <c r="D241" s="67" t="s">
        <v>21</v>
      </c>
      <c r="E241" s="85">
        <v>1480</v>
      </c>
      <c r="F241" s="84">
        <v>-1666.15</v>
      </c>
      <c r="G241" s="241">
        <v>-186.15000000000009</v>
      </c>
      <c r="H241" s="69">
        <v>2.8921812441212641E-2</v>
      </c>
      <c r="J241" s="67" t="s">
        <v>21</v>
      </c>
      <c r="K241" s="240">
        <v>130</v>
      </c>
      <c r="L241" s="241">
        <v>-73.88</v>
      </c>
      <c r="M241" s="242">
        <v>56.120000000000005</v>
      </c>
      <c r="N241" s="240">
        <v>130</v>
      </c>
      <c r="O241" s="241">
        <v>-373</v>
      </c>
      <c r="P241" s="242">
        <v>-243</v>
      </c>
      <c r="Q241" s="240">
        <v>130</v>
      </c>
      <c r="R241" s="241">
        <v>-70</v>
      </c>
      <c r="S241" s="242">
        <v>60</v>
      </c>
      <c r="T241" s="240">
        <v>130</v>
      </c>
      <c r="U241" s="241">
        <v>-368.27</v>
      </c>
      <c r="V241" s="242">
        <v>-238.26999999999998</v>
      </c>
      <c r="W241" s="240">
        <v>100</v>
      </c>
      <c r="X241" s="241">
        <v>-253</v>
      </c>
      <c r="Y241" s="242">
        <v>-153</v>
      </c>
      <c r="Z241" s="241">
        <v>100</v>
      </c>
      <c r="AA241" s="241">
        <v>-73</v>
      </c>
      <c r="AB241" s="241">
        <v>27</v>
      </c>
      <c r="AC241" s="240">
        <v>200</v>
      </c>
      <c r="AD241" s="241">
        <v>-73</v>
      </c>
      <c r="AE241" s="242">
        <v>127</v>
      </c>
      <c r="AF241" s="240">
        <v>160</v>
      </c>
      <c r="AG241" s="241">
        <v>-73</v>
      </c>
      <c r="AH241" s="242">
        <v>87</v>
      </c>
      <c r="AI241" s="241">
        <v>100</v>
      </c>
      <c r="AJ241" s="241">
        <v>-73</v>
      </c>
      <c r="AK241" s="241">
        <v>27</v>
      </c>
      <c r="AL241" s="240">
        <v>100</v>
      </c>
      <c r="AM241" s="241">
        <v>-113</v>
      </c>
      <c r="AN241" s="242">
        <v>-13</v>
      </c>
      <c r="AO241" s="240">
        <v>100</v>
      </c>
      <c r="AP241" s="241">
        <v>-123</v>
      </c>
      <c r="AQ241" s="242">
        <v>-23</v>
      </c>
      <c r="AR241" s="240">
        <v>100</v>
      </c>
      <c r="AS241" s="241">
        <v>-114.98</v>
      </c>
      <c r="AT241" s="242">
        <v>-14.980000000000004</v>
      </c>
    </row>
    <row r="242" spans="4:46" outlineLevel="2">
      <c r="D242" s="67" t="s">
        <v>22</v>
      </c>
      <c r="E242" s="85">
        <v>11289</v>
      </c>
      <c r="F242" s="84">
        <v>-8283.08</v>
      </c>
      <c r="G242" s="241">
        <v>3005.92</v>
      </c>
      <c r="H242" s="69">
        <v>0.28010958982483813</v>
      </c>
      <c r="J242" s="67" t="s">
        <v>22</v>
      </c>
      <c r="K242" s="240">
        <v>828</v>
      </c>
      <c r="L242" s="241">
        <v>-828</v>
      </c>
      <c r="M242" s="242">
        <v>0</v>
      </c>
      <c r="N242" s="240">
        <v>1094</v>
      </c>
      <c r="O242" s="241">
        <v>-828</v>
      </c>
      <c r="P242" s="242">
        <v>266</v>
      </c>
      <c r="Q242" s="240">
        <v>806</v>
      </c>
      <c r="R242" s="241">
        <v>-828</v>
      </c>
      <c r="S242" s="242">
        <v>-22</v>
      </c>
      <c r="T242" s="240">
        <v>828</v>
      </c>
      <c r="U242" s="241">
        <v>-828</v>
      </c>
      <c r="V242" s="242">
        <v>0</v>
      </c>
      <c r="W242" s="240">
        <v>1555</v>
      </c>
      <c r="X242" s="241">
        <v>-1551.35</v>
      </c>
      <c r="Y242" s="242">
        <v>3.6500000000000909</v>
      </c>
      <c r="Z242" s="241">
        <v>785</v>
      </c>
      <c r="AA242" s="241">
        <v>-828</v>
      </c>
      <c r="AB242" s="241">
        <v>-43</v>
      </c>
      <c r="AC242" s="240">
        <v>828</v>
      </c>
      <c r="AD242" s="241">
        <v>-828</v>
      </c>
      <c r="AE242" s="242">
        <v>0</v>
      </c>
      <c r="AF242" s="240">
        <v>975</v>
      </c>
      <c r="AG242" s="241">
        <v>1031.8800000000001</v>
      </c>
      <c r="AH242" s="242">
        <v>2006.88</v>
      </c>
      <c r="AI242" s="241">
        <v>975</v>
      </c>
      <c r="AJ242" s="241">
        <v>-919.61</v>
      </c>
      <c r="AK242" s="241">
        <v>55.389999999999986</v>
      </c>
      <c r="AL242" s="240">
        <v>938</v>
      </c>
      <c r="AM242" s="241">
        <v>-938</v>
      </c>
      <c r="AN242" s="242">
        <v>0</v>
      </c>
      <c r="AO242" s="240">
        <v>917</v>
      </c>
      <c r="AP242" s="241">
        <v>-938</v>
      </c>
      <c r="AQ242" s="242">
        <v>-21</v>
      </c>
      <c r="AR242" s="240">
        <v>760</v>
      </c>
      <c r="AS242" s="241">
        <v>0</v>
      </c>
      <c r="AT242" s="242">
        <v>760</v>
      </c>
    </row>
    <row r="243" spans="4:46" outlineLevel="2">
      <c r="D243" s="67" t="s">
        <v>23</v>
      </c>
      <c r="E243" s="85">
        <v>3343.2</v>
      </c>
      <c r="F243" s="84">
        <v>-1057.97</v>
      </c>
      <c r="G243" s="241">
        <v>2285.2299999999996</v>
      </c>
      <c r="H243" s="69">
        <v>4.2179303802141598E-2</v>
      </c>
      <c r="J243" s="67" t="s">
        <v>23</v>
      </c>
      <c r="K243" s="240">
        <v>100</v>
      </c>
      <c r="L243" s="241">
        <v>0</v>
      </c>
      <c r="M243" s="242">
        <v>100</v>
      </c>
      <c r="N243" s="240">
        <v>70</v>
      </c>
      <c r="O243" s="241">
        <v>0</v>
      </c>
      <c r="P243" s="242">
        <v>70</v>
      </c>
      <c r="Q243" s="240">
        <v>600</v>
      </c>
      <c r="R243" s="241">
        <v>-599.97</v>
      </c>
      <c r="S243" s="242">
        <v>2.9999999999972715E-2</v>
      </c>
      <c r="T243" s="240">
        <v>0</v>
      </c>
      <c r="U243" s="241">
        <v>0</v>
      </c>
      <c r="V243" s="242">
        <v>0</v>
      </c>
      <c r="W243" s="240">
        <v>191</v>
      </c>
      <c r="X243" s="241">
        <v>0</v>
      </c>
      <c r="Y243" s="242">
        <v>191</v>
      </c>
      <c r="Z243" s="241">
        <v>176.2</v>
      </c>
      <c r="AA243" s="241">
        <v>-162</v>
      </c>
      <c r="AB243" s="241">
        <v>14.199999999999989</v>
      </c>
      <c r="AC243" s="240">
        <v>106</v>
      </c>
      <c r="AD243" s="241">
        <v>0</v>
      </c>
      <c r="AE243" s="242">
        <v>106</v>
      </c>
      <c r="AF243" s="240">
        <v>0</v>
      </c>
      <c r="AG243" s="241">
        <v>0</v>
      </c>
      <c r="AH243" s="242">
        <v>0</v>
      </c>
      <c r="AI243" s="241">
        <v>100</v>
      </c>
      <c r="AJ243" s="241">
        <v>-196</v>
      </c>
      <c r="AK243" s="241">
        <v>-96</v>
      </c>
      <c r="AL243" s="240">
        <v>100</v>
      </c>
      <c r="AM243" s="241">
        <v>-100</v>
      </c>
      <c r="AN243" s="242">
        <v>0</v>
      </c>
      <c r="AO243" s="240">
        <v>0</v>
      </c>
      <c r="AP243" s="241">
        <v>0</v>
      </c>
      <c r="AQ243" s="242">
        <v>0</v>
      </c>
      <c r="AR243" s="240">
        <v>215</v>
      </c>
      <c r="AS243" s="241">
        <v>-214.53</v>
      </c>
      <c r="AT243" s="242">
        <v>0.46999999999999886</v>
      </c>
    </row>
    <row r="244" spans="4:46" outlineLevel="2">
      <c r="D244" s="67" t="s">
        <v>24</v>
      </c>
      <c r="E244" s="85">
        <v>2212</v>
      </c>
      <c r="F244" s="84">
        <v>-1769.96</v>
      </c>
      <c r="G244" s="241">
        <v>442.03999999999996</v>
      </c>
      <c r="H244" s="69"/>
      <c r="J244" s="18" t="s">
        <v>24</v>
      </c>
      <c r="K244" s="240">
        <v>100</v>
      </c>
      <c r="L244" s="241">
        <v>-100</v>
      </c>
      <c r="M244" s="242">
        <v>0</v>
      </c>
      <c r="N244" s="240">
        <v>40</v>
      </c>
      <c r="O244" s="241">
        <v>0</v>
      </c>
      <c r="P244" s="242">
        <v>40</v>
      </c>
      <c r="Q244" s="240">
        <v>70</v>
      </c>
      <c r="R244" s="241">
        <v>-38.79</v>
      </c>
      <c r="S244" s="242">
        <v>31.21</v>
      </c>
      <c r="T244" s="240">
        <v>100</v>
      </c>
      <c r="U244" s="241">
        <v>0</v>
      </c>
      <c r="V244" s="242">
        <v>100</v>
      </c>
      <c r="W244" s="240">
        <v>192</v>
      </c>
      <c r="X244" s="241">
        <v>0</v>
      </c>
      <c r="Y244" s="242">
        <v>192</v>
      </c>
      <c r="Z244" s="241">
        <v>200</v>
      </c>
      <c r="AA244" s="241">
        <v>-200</v>
      </c>
      <c r="AB244" s="241">
        <v>0</v>
      </c>
      <c r="AC244" s="240">
        <v>100</v>
      </c>
      <c r="AD244" s="241">
        <v>0</v>
      </c>
      <c r="AE244" s="242">
        <v>100</v>
      </c>
      <c r="AF244" s="240">
        <v>100</v>
      </c>
      <c r="AG244" s="241">
        <v>0</v>
      </c>
      <c r="AH244" s="242">
        <v>100</v>
      </c>
      <c r="AI244" s="241">
        <v>400</v>
      </c>
      <c r="AJ244" s="241">
        <v>-495</v>
      </c>
      <c r="AK244" s="241">
        <v>-95</v>
      </c>
      <c r="AL244" s="240">
        <v>100</v>
      </c>
      <c r="AM244" s="241">
        <v>-226.17</v>
      </c>
      <c r="AN244" s="242">
        <v>-126.16999999999999</v>
      </c>
      <c r="AO244" s="240">
        <v>710</v>
      </c>
      <c r="AP244" s="241">
        <v>-710</v>
      </c>
      <c r="AQ244" s="242">
        <v>0</v>
      </c>
      <c r="AR244" s="240">
        <v>100</v>
      </c>
      <c r="AS244" s="241">
        <v>-380</v>
      </c>
      <c r="AT244" s="242">
        <v>-280</v>
      </c>
    </row>
    <row r="245" spans="4:46" ht="13.5" outlineLevel="2" thickBot="1">
      <c r="D245" s="88" t="s">
        <v>25</v>
      </c>
      <c r="E245" s="85">
        <v>782</v>
      </c>
      <c r="F245" s="84">
        <v>-262</v>
      </c>
      <c r="G245" s="241">
        <v>520</v>
      </c>
      <c r="H245" s="71">
        <v>1.7689391439472509E-2</v>
      </c>
      <c r="J245" s="30" t="s">
        <v>25</v>
      </c>
      <c r="K245" s="240">
        <v>40</v>
      </c>
      <c r="L245" s="241">
        <v>0</v>
      </c>
      <c r="M245" s="247">
        <v>40</v>
      </c>
      <c r="N245" s="245">
        <v>40</v>
      </c>
      <c r="O245" s="246">
        <v>0</v>
      </c>
      <c r="P245" s="247">
        <v>40</v>
      </c>
      <c r="Q245" s="245">
        <v>40</v>
      </c>
      <c r="R245" s="246">
        <v>-45</v>
      </c>
      <c r="S245" s="247">
        <v>-5</v>
      </c>
      <c r="T245" s="240">
        <v>50</v>
      </c>
      <c r="U245" s="241">
        <v>0</v>
      </c>
      <c r="V245" s="242">
        <v>50</v>
      </c>
      <c r="W245" s="240">
        <v>193</v>
      </c>
      <c r="X245" s="241">
        <v>0</v>
      </c>
      <c r="Y245" s="242">
        <v>193</v>
      </c>
      <c r="Z245" s="241">
        <v>0</v>
      </c>
      <c r="AA245" s="241">
        <v>0</v>
      </c>
      <c r="AB245" s="241">
        <v>0</v>
      </c>
      <c r="AC245" s="240">
        <v>100</v>
      </c>
      <c r="AD245" s="241">
        <v>0</v>
      </c>
      <c r="AE245" s="242">
        <v>100</v>
      </c>
      <c r="AF245" s="240">
        <v>119</v>
      </c>
      <c r="AG245" s="241">
        <v>-147</v>
      </c>
      <c r="AH245" s="242">
        <v>-28</v>
      </c>
      <c r="AI245" s="241">
        <v>100</v>
      </c>
      <c r="AJ245" s="241">
        <v>-70</v>
      </c>
      <c r="AK245" s="241">
        <v>30</v>
      </c>
      <c r="AL245" s="240">
        <v>0</v>
      </c>
      <c r="AM245" s="241">
        <v>0</v>
      </c>
      <c r="AN245" s="242">
        <v>0</v>
      </c>
      <c r="AO245" s="240">
        <v>0</v>
      </c>
      <c r="AP245" s="241">
        <v>0</v>
      </c>
      <c r="AQ245" s="242">
        <v>0</v>
      </c>
      <c r="AR245" s="240">
        <v>100</v>
      </c>
      <c r="AS245" s="241">
        <v>-48</v>
      </c>
      <c r="AT245" s="242">
        <v>52</v>
      </c>
    </row>
    <row r="246" spans="4:46" ht="13.5" outlineLevel="2" thickBot="1">
      <c r="D246" s="72" t="s">
        <v>29</v>
      </c>
      <c r="E246" s="271">
        <v>45962.39</v>
      </c>
      <c r="F246" s="272">
        <v>-46895.538999999997</v>
      </c>
      <c r="G246" s="273">
        <v>-933.14899999999739</v>
      </c>
      <c r="J246" s="75" t="s">
        <v>29</v>
      </c>
      <c r="K246" s="264">
        <v>3959</v>
      </c>
      <c r="L246" s="265">
        <v>-3024.27</v>
      </c>
      <c r="M246" s="266">
        <v>934.73000000000013</v>
      </c>
      <c r="N246" s="87">
        <v>4061</v>
      </c>
      <c r="O246" s="87">
        <v>-3389.27</v>
      </c>
      <c r="P246" s="90">
        <v>671.7299999999999</v>
      </c>
      <c r="Q246" s="89">
        <v>3780</v>
      </c>
      <c r="R246" s="87">
        <v>-4176.7699999999995</v>
      </c>
      <c r="S246" s="90">
        <v>-396.76999999999992</v>
      </c>
      <c r="T246" s="264">
        <v>2919.19</v>
      </c>
      <c r="U246" s="265">
        <v>-3002.4500000000003</v>
      </c>
      <c r="V246" s="266">
        <v>-83.260000000000048</v>
      </c>
      <c r="W246" s="264">
        <v>4014</v>
      </c>
      <c r="X246" s="265">
        <v>-4106.59</v>
      </c>
      <c r="Y246" s="266">
        <v>-92.589999999999918</v>
      </c>
      <c r="Z246" s="264">
        <v>3993.2</v>
      </c>
      <c r="AA246" s="265">
        <v>-4128.59</v>
      </c>
      <c r="AB246" s="266">
        <v>-135.38999999999999</v>
      </c>
      <c r="AC246" s="264">
        <v>2550</v>
      </c>
      <c r="AD246" s="265">
        <v>-2985.87</v>
      </c>
      <c r="AE246" s="266">
        <v>-435.87</v>
      </c>
      <c r="AF246" s="264">
        <v>4556</v>
      </c>
      <c r="AG246" s="265">
        <v>-3327.14</v>
      </c>
      <c r="AH246" s="266">
        <v>1228.8600000000001</v>
      </c>
      <c r="AI246" s="264">
        <v>3193</v>
      </c>
      <c r="AJ246" s="265">
        <v>-3876.13</v>
      </c>
      <c r="AK246" s="266">
        <v>-683.13000000000011</v>
      </c>
      <c r="AL246" s="264">
        <v>3042</v>
      </c>
      <c r="AM246" s="265">
        <v>-3693.9590000000003</v>
      </c>
      <c r="AN246" s="266">
        <v>-651.95899999999983</v>
      </c>
      <c r="AO246" s="264">
        <v>4489</v>
      </c>
      <c r="AP246" s="265">
        <v>-4826.4400000000005</v>
      </c>
      <c r="AQ246" s="266">
        <v>-337.43999999999994</v>
      </c>
      <c r="AR246" s="264">
        <v>3600</v>
      </c>
      <c r="AS246" s="265">
        <v>-4552.0600000000004</v>
      </c>
      <c r="AT246" s="266">
        <v>-952.06000000000017</v>
      </c>
    </row>
    <row r="247" spans="4:46" ht="14.1" customHeight="1" outlineLevel="2" thickBot="1">
      <c r="E247" s="705">
        <v>2016</v>
      </c>
      <c r="F247" s="706"/>
      <c r="G247" s="707"/>
      <c r="J247" s="58">
        <v>2016</v>
      </c>
      <c r="K247" s="710">
        <v>42370</v>
      </c>
      <c r="L247" s="711"/>
      <c r="M247" s="712"/>
      <c r="N247" s="710">
        <v>42401</v>
      </c>
      <c r="O247" s="711"/>
      <c r="P247" s="712"/>
      <c r="Q247" s="710">
        <v>42430</v>
      </c>
      <c r="R247" s="711"/>
      <c r="S247" s="712"/>
      <c r="T247" s="710">
        <v>42461</v>
      </c>
      <c r="U247" s="711"/>
      <c r="V247" s="712"/>
      <c r="W247" s="710">
        <v>42491</v>
      </c>
      <c r="X247" s="711"/>
      <c r="Y247" s="712"/>
      <c r="Z247" s="710">
        <v>42522</v>
      </c>
      <c r="AA247" s="711"/>
      <c r="AB247" s="712"/>
      <c r="AC247" s="710">
        <v>42552</v>
      </c>
      <c r="AD247" s="711"/>
      <c r="AE247" s="712"/>
      <c r="AF247" s="710">
        <v>42583</v>
      </c>
      <c r="AG247" s="711"/>
      <c r="AH247" s="712"/>
      <c r="AI247" s="710">
        <v>42614</v>
      </c>
      <c r="AJ247" s="711"/>
      <c r="AK247" s="712"/>
      <c r="AL247" s="710">
        <v>42644</v>
      </c>
      <c r="AM247" s="711"/>
      <c r="AN247" s="712"/>
      <c r="AO247" s="710">
        <v>42675</v>
      </c>
      <c r="AP247" s="711"/>
      <c r="AQ247" s="712"/>
      <c r="AR247" s="710">
        <v>42705</v>
      </c>
      <c r="AS247" s="711"/>
      <c r="AT247" s="712"/>
    </row>
    <row r="248" spans="4:46" ht="13.5" outlineLevel="2" thickBot="1">
      <c r="D248" s="59" t="s">
        <v>7</v>
      </c>
      <c r="E248" s="60" t="s">
        <v>60</v>
      </c>
      <c r="F248" s="61" t="s">
        <v>61</v>
      </c>
      <c r="G248" s="62" t="s">
        <v>62</v>
      </c>
      <c r="H248" s="63" t="s">
        <v>73</v>
      </c>
      <c r="J248" s="59" t="s">
        <v>7</v>
      </c>
      <c r="K248" s="261" t="s">
        <v>60</v>
      </c>
      <c r="L248" s="262" t="s">
        <v>61</v>
      </c>
      <c r="M248" s="263" t="s">
        <v>62</v>
      </c>
      <c r="N248" s="261" t="s">
        <v>60</v>
      </c>
      <c r="O248" s="262" t="s">
        <v>61</v>
      </c>
      <c r="P248" s="262" t="s">
        <v>62</v>
      </c>
      <c r="Q248" s="261" t="s">
        <v>60</v>
      </c>
      <c r="R248" s="262" t="s">
        <v>61</v>
      </c>
      <c r="S248" s="263" t="s">
        <v>62</v>
      </c>
      <c r="T248" s="261" t="s">
        <v>60</v>
      </c>
      <c r="U248" s="262" t="s">
        <v>61</v>
      </c>
      <c r="V248" s="263" t="s">
        <v>62</v>
      </c>
      <c r="W248" s="261" t="s">
        <v>60</v>
      </c>
      <c r="X248" s="262" t="s">
        <v>61</v>
      </c>
      <c r="Y248" s="263" t="s">
        <v>62</v>
      </c>
      <c r="Z248" s="261" t="s">
        <v>60</v>
      </c>
      <c r="AA248" s="262" t="s">
        <v>61</v>
      </c>
      <c r="AB248" s="263" t="s">
        <v>62</v>
      </c>
      <c r="AC248" s="261" t="s">
        <v>60</v>
      </c>
      <c r="AD248" s="262" t="s">
        <v>61</v>
      </c>
      <c r="AE248" s="263" t="s">
        <v>62</v>
      </c>
      <c r="AF248" s="261" t="s">
        <v>60</v>
      </c>
      <c r="AG248" s="262" t="s">
        <v>61</v>
      </c>
      <c r="AH248" s="263" t="s">
        <v>62</v>
      </c>
      <c r="AI248" s="261" t="s">
        <v>60</v>
      </c>
      <c r="AJ248" s="262" t="s">
        <v>61</v>
      </c>
      <c r="AK248" s="263" t="s">
        <v>62</v>
      </c>
      <c r="AL248" s="261" t="s">
        <v>60</v>
      </c>
      <c r="AM248" s="262" t="s">
        <v>61</v>
      </c>
      <c r="AN248" s="263" t="s">
        <v>62</v>
      </c>
      <c r="AO248" s="261" t="s">
        <v>60</v>
      </c>
      <c r="AP248" s="262" t="s">
        <v>61</v>
      </c>
      <c r="AQ248" s="263" t="s">
        <v>62</v>
      </c>
      <c r="AR248" s="261" t="s">
        <v>60</v>
      </c>
      <c r="AS248" s="262" t="s">
        <v>61</v>
      </c>
      <c r="AT248" s="263" t="s">
        <v>62</v>
      </c>
    </row>
    <row r="249" spans="4:46" outlineLevel="2">
      <c r="D249" s="64" t="s">
        <v>8</v>
      </c>
      <c r="E249" s="82">
        <v>1094.98</v>
      </c>
      <c r="F249" s="80">
        <v>-1197.49</v>
      </c>
      <c r="G249" s="236">
        <v>-102.50999999999999</v>
      </c>
      <c r="H249" s="66">
        <v>3.9443746005612124E-2</v>
      </c>
      <c r="J249" s="64" t="s">
        <v>8</v>
      </c>
      <c r="K249" s="235">
        <v>95</v>
      </c>
      <c r="L249" s="236">
        <v>-97.99</v>
      </c>
      <c r="M249" s="237">
        <v>-2.9899999999999949</v>
      </c>
      <c r="N249" s="235">
        <v>95</v>
      </c>
      <c r="O249" s="236">
        <v>-97.99</v>
      </c>
      <c r="P249" s="237">
        <v>-2.9899999999999949</v>
      </c>
      <c r="Q249" s="235">
        <v>95</v>
      </c>
      <c r="R249" s="236">
        <v>-97.99</v>
      </c>
      <c r="S249" s="237">
        <v>-2.9899999999999949</v>
      </c>
      <c r="T249" s="235">
        <v>95</v>
      </c>
      <c r="U249" s="236">
        <v>-150</v>
      </c>
      <c r="V249" s="237">
        <v>-55</v>
      </c>
      <c r="W249" s="235">
        <v>75</v>
      </c>
      <c r="X249" s="236">
        <v>-104.99</v>
      </c>
      <c r="Y249" s="237">
        <v>-29.989999999999995</v>
      </c>
      <c r="Z249" s="236">
        <v>104</v>
      </c>
      <c r="AA249" s="236">
        <v>-104.99</v>
      </c>
      <c r="AB249" s="236">
        <v>-0.98999999999999488</v>
      </c>
      <c r="AC249" s="235">
        <v>97.99</v>
      </c>
      <c r="AD249" s="236">
        <v>-104.99</v>
      </c>
      <c r="AE249" s="237">
        <v>-7</v>
      </c>
      <c r="AF249" s="235">
        <v>97.99</v>
      </c>
      <c r="AG249" s="236">
        <v>-124.99</v>
      </c>
      <c r="AH249" s="237">
        <v>-27</v>
      </c>
      <c r="AI249" s="236">
        <v>75</v>
      </c>
      <c r="AJ249" s="236">
        <v>-104.99</v>
      </c>
      <c r="AK249" s="236">
        <v>-29.989999999999995</v>
      </c>
      <c r="AL249" s="235">
        <v>95</v>
      </c>
      <c r="AM249" s="236">
        <v>-178.99</v>
      </c>
      <c r="AN249" s="237">
        <v>-83.990000000000009</v>
      </c>
      <c r="AO249" s="235">
        <v>95</v>
      </c>
      <c r="AP249" s="236">
        <v>-127.57</v>
      </c>
      <c r="AQ249" s="237">
        <v>-32.569999999999993</v>
      </c>
      <c r="AR249" s="235">
        <v>75</v>
      </c>
      <c r="AS249" s="236">
        <v>-107.99</v>
      </c>
      <c r="AT249" s="237">
        <v>-32.989999999999995</v>
      </c>
    </row>
    <row r="250" spans="4:46" outlineLevel="2">
      <c r="D250" s="67" t="s">
        <v>9</v>
      </c>
      <c r="E250" s="85">
        <v>819</v>
      </c>
      <c r="F250" s="84">
        <v>-664</v>
      </c>
      <c r="G250" s="241">
        <v>155</v>
      </c>
      <c r="H250" s="69">
        <v>2.1871286898200778E-2</v>
      </c>
      <c r="J250" s="67" t="s">
        <v>9</v>
      </c>
      <c r="K250" s="240">
        <v>75</v>
      </c>
      <c r="L250" s="241">
        <v>-78.64</v>
      </c>
      <c r="M250" s="242">
        <v>-3.6400000000000006</v>
      </c>
      <c r="N250" s="240">
        <v>75</v>
      </c>
      <c r="O250" s="241">
        <v>-78.64</v>
      </c>
      <c r="P250" s="242">
        <v>-3.6400000000000006</v>
      </c>
      <c r="Q250" s="240">
        <v>75</v>
      </c>
      <c r="R250" s="241">
        <v>-78.64</v>
      </c>
      <c r="S250" s="242">
        <v>-3.6400000000000006</v>
      </c>
      <c r="T250" s="240">
        <v>75</v>
      </c>
      <c r="U250" s="241">
        <v>-75</v>
      </c>
      <c r="V250" s="242">
        <v>0</v>
      </c>
      <c r="W250" s="240">
        <v>75</v>
      </c>
      <c r="X250" s="241">
        <v>-78.64</v>
      </c>
      <c r="Y250" s="242">
        <v>-3.6400000000000006</v>
      </c>
      <c r="Z250" s="241">
        <v>75</v>
      </c>
      <c r="AA250" s="241">
        <v>-78.64</v>
      </c>
      <c r="AB250" s="241">
        <v>-3.6400000000000006</v>
      </c>
      <c r="AC250" s="240">
        <v>0</v>
      </c>
      <c r="AD250" s="241">
        <v>0</v>
      </c>
      <c r="AE250" s="242">
        <v>0</v>
      </c>
      <c r="AF250" s="240">
        <v>69</v>
      </c>
      <c r="AG250" s="241">
        <v>-69.86</v>
      </c>
      <c r="AH250" s="242">
        <v>-0.85999999999999943</v>
      </c>
      <c r="AI250" s="241">
        <v>75</v>
      </c>
      <c r="AJ250" s="241">
        <v>-68.19</v>
      </c>
      <c r="AK250" s="241">
        <v>6.8100000000000023</v>
      </c>
      <c r="AL250" s="240">
        <v>75</v>
      </c>
      <c r="AM250" s="241">
        <v>-68.2</v>
      </c>
      <c r="AN250" s="242">
        <v>6.7999999999999972</v>
      </c>
      <c r="AO250" s="240">
        <v>75</v>
      </c>
      <c r="AP250" s="241">
        <v>-68.19</v>
      </c>
      <c r="AQ250" s="242">
        <v>6.8100000000000023</v>
      </c>
      <c r="AR250" s="240">
        <v>75</v>
      </c>
      <c r="AS250" s="241">
        <v>-68.19</v>
      </c>
      <c r="AT250" s="242">
        <v>6.8100000000000023</v>
      </c>
    </row>
    <row r="251" spans="4:46" outlineLevel="2">
      <c r="D251" s="67" t="s">
        <v>10</v>
      </c>
      <c r="E251" s="85">
        <v>415</v>
      </c>
      <c r="F251" s="84">
        <v>-20</v>
      </c>
      <c r="G251" s="241">
        <v>395</v>
      </c>
      <c r="H251" s="69">
        <v>6.5877370175303554E-4</v>
      </c>
      <c r="J251" s="67" t="s">
        <v>10</v>
      </c>
      <c r="K251" s="240">
        <v>25</v>
      </c>
      <c r="L251" s="241">
        <v>0</v>
      </c>
      <c r="M251" s="242">
        <v>25</v>
      </c>
      <c r="N251" s="240">
        <v>25</v>
      </c>
      <c r="O251" s="241">
        <v>0</v>
      </c>
      <c r="P251" s="242">
        <v>25</v>
      </c>
      <c r="Q251" s="240">
        <v>25</v>
      </c>
      <c r="R251" s="241">
        <v>0</v>
      </c>
      <c r="S251" s="242">
        <v>25</v>
      </c>
      <c r="T251" s="240">
        <v>25</v>
      </c>
      <c r="U251" s="241">
        <v>0</v>
      </c>
      <c r="V251" s="242">
        <v>25</v>
      </c>
      <c r="W251" s="240">
        <v>40</v>
      </c>
      <c r="X251" s="241">
        <v>-20</v>
      </c>
      <c r="Y251" s="242">
        <v>20</v>
      </c>
      <c r="Z251" s="241">
        <v>40</v>
      </c>
      <c r="AA251" s="241">
        <v>0</v>
      </c>
      <c r="AB251" s="241">
        <v>40</v>
      </c>
      <c r="AC251" s="240">
        <v>30</v>
      </c>
      <c r="AD251" s="241">
        <v>0</v>
      </c>
      <c r="AE251" s="242">
        <v>30</v>
      </c>
      <c r="AF251" s="240">
        <v>30</v>
      </c>
      <c r="AG251" s="241">
        <v>0</v>
      </c>
      <c r="AH251" s="242">
        <v>30</v>
      </c>
      <c r="AI251" s="241">
        <v>50</v>
      </c>
      <c r="AJ251" s="241">
        <v>0</v>
      </c>
      <c r="AK251" s="241">
        <v>50</v>
      </c>
      <c r="AL251" s="240">
        <v>50</v>
      </c>
      <c r="AM251" s="241">
        <v>0</v>
      </c>
      <c r="AN251" s="242">
        <v>50</v>
      </c>
      <c r="AO251" s="240">
        <v>25</v>
      </c>
      <c r="AP251" s="241">
        <v>0</v>
      </c>
      <c r="AQ251" s="242">
        <v>25</v>
      </c>
      <c r="AR251" s="240">
        <v>50</v>
      </c>
      <c r="AS251" s="241">
        <v>0</v>
      </c>
      <c r="AT251" s="242">
        <v>50</v>
      </c>
    </row>
    <row r="252" spans="4:46" outlineLevel="2">
      <c r="D252" s="67" t="s">
        <v>11</v>
      </c>
      <c r="E252" s="85">
        <v>560</v>
      </c>
      <c r="F252" s="84">
        <v>-258.73</v>
      </c>
      <c r="G252" s="241">
        <v>301.27</v>
      </c>
      <c r="H252" s="69">
        <v>8.5222259927281441E-3</v>
      </c>
      <c r="J252" s="67" t="s">
        <v>11</v>
      </c>
      <c r="K252" s="240">
        <v>50</v>
      </c>
      <c r="L252" s="241">
        <v>0</v>
      </c>
      <c r="M252" s="242">
        <v>50</v>
      </c>
      <c r="N252" s="240">
        <v>50</v>
      </c>
      <c r="O252" s="241">
        <v>-101.36</v>
      </c>
      <c r="P252" s="242">
        <v>-51.36</v>
      </c>
      <c r="Q252" s="240">
        <v>50</v>
      </c>
      <c r="R252" s="241">
        <v>-99</v>
      </c>
      <c r="S252" s="242">
        <v>-49</v>
      </c>
      <c r="T252" s="240">
        <v>50</v>
      </c>
      <c r="U252" s="241">
        <v>0</v>
      </c>
      <c r="V252" s="242">
        <v>50</v>
      </c>
      <c r="W252" s="240">
        <v>50</v>
      </c>
      <c r="X252" s="241">
        <v>0</v>
      </c>
      <c r="Y252" s="242">
        <v>50</v>
      </c>
      <c r="Z252" s="241">
        <v>50</v>
      </c>
      <c r="AA252" s="241">
        <v>-12.73</v>
      </c>
      <c r="AB252" s="241">
        <v>37.269999999999996</v>
      </c>
      <c r="AC252" s="240">
        <v>30</v>
      </c>
      <c r="AD252" s="241">
        <v>0</v>
      </c>
      <c r="AE252" s="242">
        <v>30</v>
      </c>
      <c r="AF252" s="240">
        <v>30</v>
      </c>
      <c r="AG252" s="241">
        <v>0</v>
      </c>
      <c r="AH252" s="242">
        <v>30</v>
      </c>
      <c r="AI252" s="241">
        <v>50</v>
      </c>
      <c r="AJ252" s="241">
        <v>0</v>
      </c>
      <c r="AK252" s="241">
        <v>50</v>
      </c>
      <c r="AL252" s="240">
        <v>50</v>
      </c>
      <c r="AM252" s="241">
        <v>0</v>
      </c>
      <c r="AN252" s="242">
        <v>50</v>
      </c>
      <c r="AO252" s="240">
        <v>50</v>
      </c>
      <c r="AP252" s="241">
        <v>-45.64</v>
      </c>
      <c r="AQ252" s="242">
        <v>4.3599999999999994</v>
      </c>
      <c r="AR252" s="240">
        <v>50</v>
      </c>
      <c r="AS252" s="241">
        <v>0</v>
      </c>
      <c r="AT252" s="242">
        <v>50</v>
      </c>
    </row>
    <row r="253" spans="4:46" outlineLevel="2">
      <c r="D253" s="67" t="s">
        <v>75</v>
      </c>
      <c r="E253" s="85">
        <v>114</v>
      </c>
      <c r="F253" s="84">
        <v>0</v>
      </c>
      <c r="G253" s="241">
        <v>114</v>
      </c>
      <c r="H253" s="69">
        <v>0</v>
      </c>
      <c r="J253" s="67" t="s">
        <v>75</v>
      </c>
      <c r="K253" s="240">
        <v>0</v>
      </c>
      <c r="L253" s="241">
        <v>0</v>
      </c>
      <c r="M253" s="242">
        <v>0</v>
      </c>
      <c r="N253" s="240">
        <v>0</v>
      </c>
      <c r="O253" s="241">
        <v>0</v>
      </c>
      <c r="P253" s="242">
        <v>0</v>
      </c>
      <c r="Q253" s="240">
        <v>0</v>
      </c>
      <c r="R253" s="241">
        <v>0</v>
      </c>
      <c r="S253" s="242">
        <v>0</v>
      </c>
      <c r="T253" s="240">
        <v>0</v>
      </c>
      <c r="U253" s="241">
        <v>0</v>
      </c>
      <c r="V253" s="242">
        <v>0</v>
      </c>
      <c r="W253" s="240">
        <v>0</v>
      </c>
      <c r="X253" s="241">
        <v>0</v>
      </c>
      <c r="Y253" s="242">
        <v>0</v>
      </c>
      <c r="Z253" s="241">
        <v>0</v>
      </c>
      <c r="AA253" s="241">
        <v>0</v>
      </c>
      <c r="AB253" s="241">
        <v>0</v>
      </c>
      <c r="AC253" s="240">
        <v>0</v>
      </c>
      <c r="AD253" s="241">
        <v>0</v>
      </c>
      <c r="AE253" s="242">
        <v>0</v>
      </c>
      <c r="AF253" s="240">
        <v>0</v>
      </c>
      <c r="AG253" s="241">
        <v>0</v>
      </c>
      <c r="AH253" s="242">
        <v>0</v>
      </c>
      <c r="AI253" s="241">
        <v>38</v>
      </c>
      <c r="AJ253" s="241">
        <v>0</v>
      </c>
      <c r="AK253" s="241">
        <v>38</v>
      </c>
      <c r="AL253" s="240">
        <v>38</v>
      </c>
      <c r="AM253" s="241">
        <v>0</v>
      </c>
      <c r="AN253" s="242">
        <v>38</v>
      </c>
      <c r="AO253" s="240">
        <v>0</v>
      </c>
      <c r="AP253" s="241">
        <v>0</v>
      </c>
      <c r="AQ253" s="242">
        <v>0</v>
      </c>
      <c r="AR253" s="240">
        <v>38</v>
      </c>
      <c r="AS253" s="241">
        <v>0</v>
      </c>
      <c r="AT253" s="242">
        <v>0</v>
      </c>
    </row>
    <row r="254" spans="4:46" outlineLevel="2">
      <c r="D254" s="67" t="s">
        <v>13</v>
      </c>
      <c r="E254" s="85">
        <v>3650</v>
      </c>
      <c r="F254" s="84">
        <v>-7576.9400000000005</v>
      </c>
      <c r="G254" s="241">
        <v>-3926.9400000000005</v>
      </c>
      <c r="H254" s="69">
        <v>0.24957444058803227</v>
      </c>
      <c r="J254" s="67" t="s">
        <v>13</v>
      </c>
      <c r="K254" s="240">
        <v>400</v>
      </c>
      <c r="L254" s="241">
        <v>-438.42</v>
      </c>
      <c r="M254" s="242">
        <v>-38.420000000000016</v>
      </c>
      <c r="N254" s="240">
        <v>350</v>
      </c>
      <c r="O254" s="241">
        <v>-574.82999999999993</v>
      </c>
      <c r="P254" s="242">
        <v>-224.82999999999993</v>
      </c>
      <c r="Q254" s="240">
        <v>300</v>
      </c>
      <c r="R254" s="241">
        <v>-1020.5699999999999</v>
      </c>
      <c r="S254" s="242">
        <v>-720.56999999999994</v>
      </c>
      <c r="T254" s="240">
        <v>300</v>
      </c>
      <c r="U254" s="241">
        <v>-674.23</v>
      </c>
      <c r="V254" s="242">
        <v>-374.23</v>
      </c>
      <c r="W254" s="240">
        <v>300</v>
      </c>
      <c r="X254" s="241">
        <v>-961.81000000000006</v>
      </c>
      <c r="Y254" s="242">
        <v>-661.81000000000006</v>
      </c>
      <c r="Z254" s="241">
        <v>300</v>
      </c>
      <c r="AA254" s="241">
        <v>-571.84</v>
      </c>
      <c r="AB254" s="241">
        <v>-271.84000000000003</v>
      </c>
      <c r="AC254" s="240">
        <v>250</v>
      </c>
      <c r="AD254" s="241">
        <v>-1025.82</v>
      </c>
      <c r="AE254" s="242">
        <v>-775.81999999999994</v>
      </c>
      <c r="AF254" s="240">
        <v>250</v>
      </c>
      <c r="AG254" s="241">
        <v>-654.96999999999991</v>
      </c>
      <c r="AH254" s="242">
        <v>-404.96999999999991</v>
      </c>
      <c r="AI254" s="241">
        <v>300</v>
      </c>
      <c r="AJ254" s="241">
        <v>-733.43</v>
      </c>
      <c r="AK254" s="241">
        <v>-433.42999999999995</v>
      </c>
      <c r="AL254" s="240">
        <v>300</v>
      </c>
      <c r="AM254" s="241">
        <v>-452.65</v>
      </c>
      <c r="AN254" s="242">
        <v>-152.64999999999998</v>
      </c>
      <c r="AO254" s="240">
        <v>300</v>
      </c>
      <c r="AP254" s="241">
        <v>-906.79</v>
      </c>
      <c r="AQ254" s="242">
        <v>-606.79</v>
      </c>
      <c r="AR254" s="240">
        <v>300</v>
      </c>
      <c r="AS254" s="241">
        <v>-963.85</v>
      </c>
      <c r="AT254" s="242">
        <v>-663.85</v>
      </c>
    </row>
    <row r="255" spans="4:46" outlineLevel="2">
      <c r="D255" s="70" t="s">
        <v>14</v>
      </c>
      <c r="E255" s="85">
        <v>1000</v>
      </c>
      <c r="F255" s="84">
        <v>-2038.2</v>
      </c>
      <c r="G255" s="241">
        <v>-1038.2</v>
      </c>
      <c r="H255" s="69">
        <v>6.7135627945651852E-2</v>
      </c>
      <c r="J255" s="70" t="s">
        <v>14</v>
      </c>
      <c r="K255" s="240">
        <v>50</v>
      </c>
      <c r="L255" s="241">
        <v>-269.5</v>
      </c>
      <c r="M255" s="242">
        <v>-219.5</v>
      </c>
      <c r="N255" s="240">
        <v>50</v>
      </c>
      <c r="O255" s="241">
        <v>-293.33000000000004</v>
      </c>
      <c r="P255" s="242">
        <v>-243.33000000000004</v>
      </c>
      <c r="Q255" s="240">
        <v>50</v>
      </c>
      <c r="R255" s="241">
        <v>-146</v>
      </c>
      <c r="S255" s="242">
        <v>-96</v>
      </c>
      <c r="T255" s="240">
        <v>50</v>
      </c>
      <c r="U255" s="241">
        <v>-360.13</v>
      </c>
      <c r="V255" s="242">
        <v>-310.13</v>
      </c>
      <c r="W255" s="240">
        <v>100</v>
      </c>
      <c r="X255" s="241">
        <v>-29.970000000000002</v>
      </c>
      <c r="Y255" s="242">
        <v>70.03</v>
      </c>
      <c r="Z255" s="241">
        <v>100</v>
      </c>
      <c r="AA255" s="241">
        <v>-232.67</v>
      </c>
      <c r="AB255" s="241">
        <v>-132.66999999999999</v>
      </c>
      <c r="AC255" s="240">
        <v>75</v>
      </c>
      <c r="AD255" s="241">
        <v>-119.78999999999999</v>
      </c>
      <c r="AE255" s="242">
        <v>-44.789999999999992</v>
      </c>
      <c r="AF255" s="240">
        <v>75</v>
      </c>
      <c r="AG255" s="241">
        <v>-357.03</v>
      </c>
      <c r="AH255" s="242">
        <v>-282.02999999999997</v>
      </c>
      <c r="AI255" s="241">
        <v>150</v>
      </c>
      <c r="AJ255" s="241">
        <v>-132.06</v>
      </c>
      <c r="AK255" s="241">
        <v>17.939999999999998</v>
      </c>
      <c r="AL255" s="240">
        <v>100</v>
      </c>
      <c r="AM255" s="241">
        <v>-9.99</v>
      </c>
      <c r="AN255" s="242">
        <v>90.01</v>
      </c>
      <c r="AO255" s="240">
        <v>100</v>
      </c>
      <c r="AP255" s="241">
        <v>-357.23</v>
      </c>
      <c r="AQ255" s="242">
        <v>-257.23</v>
      </c>
      <c r="AR255" s="240">
        <v>100</v>
      </c>
      <c r="AS255" s="241">
        <v>-144.13</v>
      </c>
      <c r="AT255" s="242">
        <v>-44.129999999999995</v>
      </c>
    </row>
    <row r="256" spans="4:46" outlineLevel="2">
      <c r="D256" s="67" t="s">
        <v>15</v>
      </c>
      <c r="E256" s="85">
        <v>2440</v>
      </c>
      <c r="F256" s="84">
        <v>-2032.52</v>
      </c>
      <c r="G256" s="241">
        <v>407.48</v>
      </c>
      <c r="H256" s="69">
        <v>6.6948536214353982E-2</v>
      </c>
      <c r="J256" s="67" t="s">
        <v>15</v>
      </c>
      <c r="K256" s="240">
        <v>200</v>
      </c>
      <c r="L256" s="241">
        <v>-14.31</v>
      </c>
      <c r="M256" s="242">
        <v>185.69</v>
      </c>
      <c r="N256" s="240">
        <v>200</v>
      </c>
      <c r="O256" s="241">
        <v>0</v>
      </c>
      <c r="P256" s="242">
        <v>200</v>
      </c>
      <c r="Q256" s="240">
        <v>200</v>
      </c>
      <c r="R256" s="241">
        <v>-165.03000000000003</v>
      </c>
      <c r="S256" s="242">
        <v>34.96999999999997</v>
      </c>
      <c r="T256" s="240">
        <v>200</v>
      </c>
      <c r="U256" s="241">
        <v>-197.28</v>
      </c>
      <c r="V256" s="242">
        <v>2.7199999999999989</v>
      </c>
      <c r="W256" s="240">
        <v>200</v>
      </c>
      <c r="X256" s="241">
        <v>-320.45</v>
      </c>
      <c r="Y256" s="242">
        <v>-120.44999999999999</v>
      </c>
      <c r="Z256" s="241">
        <v>200</v>
      </c>
      <c r="AA256" s="241">
        <v>-240.96999999999997</v>
      </c>
      <c r="AB256" s="241">
        <v>-40.96999999999997</v>
      </c>
      <c r="AC256" s="240">
        <v>220</v>
      </c>
      <c r="AD256" s="241">
        <v>-242.07</v>
      </c>
      <c r="AE256" s="242">
        <v>-22.069999999999993</v>
      </c>
      <c r="AF256" s="240">
        <v>220</v>
      </c>
      <c r="AG256" s="241">
        <v>-330.37</v>
      </c>
      <c r="AH256" s="242">
        <v>-110.37</v>
      </c>
      <c r="AI256" s="241">
        <v>200</v>
      </c>
      <c r="AJ256" s="241">
        <v>-286.33999999999997</v>
      </c>
      <c r="AK256" s="241">
        <v>-86.339999999999975</v>
      </c>
      <c r="AL256" s="240">
        <v>200</v>
      </c>
      <c r="AM256" s="241">
        <v>-40.5</v>
      </c>
      <c r="AN256" s="242">
        <v>159.5</v>
      </c>
      <c r="AO256" s="240">
        <v>200</v>
      </c>
      <c r="AP256" s="241">
        <v>-209.51</v>
      </c>
      <c r="AQ256" s="242">
        <v>-9.5099999999999909</v>
      </c>
      <c r="AR256" s="240">
        <v>200</v>
      </c>
      <c r="AS256" s="241">
        <v>-266.39999999999998</v>
      </c>
      <c r="AT256" s="242">
        <v>-66.399999999999977</v>
      </c>
    </row>
    <row r="257" spans="4:46" outlineLevel="2">
      <c r="D257" s="67" t="s">
        <v>16</v>
      </c>
      <c r="E257" s="85">
        <v>800</v>
      </c>
      <c r="F257" s="84">
        <v>-320</v>
      </c>
      <c r="G257" s="241">
        <v>480</v>
      </c>
      <c r="H257" s="69">
        <v>1.0540379228048569E-2</v>
      </c>
      <c r="J257" s="67" t="s">
        <v>16</v>
      </c>
      <c r="K257" s="240">
        <v>0</v>
      </c>
      <c r="L257" s="241">
        <v>-100</v>
      </c>
      <c r="M257" s="242">
        <v>-100</v>
      </c>
      <c r="N257" s="240">
        <v>100</v>
      </c>
      <c r="O257" s="241">
        <v>0</v>
      </c>
      <c r="P257" s="242">
        <v>100</v>
      </c>
      <c r="Q257" s="240">
        <v>50</v>
      </c>
      <c r="R257" s="241">
        <v>0</v>
      </c>
      <c r="S257" s="242">
        <v>50</v>
      </c>
      <c r="T257" s="240">
        <v>0</v>
      </c>
      <c r="U257" s="241">
        <v>-25</v>
      </c>
      <c r="V257" s="242">
        <v>-25</v>
      </c>
      <c r="W257" s="240">
        <v>0</v>
      </c>
      <c r="X257" s="241">
        <v>-100</v>
      </c>
      <c r="Y257" s="242">
        <v>-100</v>
      </c>
      <c r="Z257" s="241">
        <v>50</v>
      </c>
      <c r="AA257" s="241">
        <v>-75</v>
      </c>
      <c r="AB257" s="241">
        <v>-25</v>
      </c>
      <c r="AC257" s="240">
        <v>200</v>
      </c>
      <c r="AD257" s="241">
        <v>-50</v>
      </c>
      <c r="AE257" s="242">
        <v>150</v>
      </c>
      <c r="AF257" s="240">
        <v>0</v>
      </c>
      <c r="AG257" s="241">
        <v>-70</v>
      </c>
      <c r="AH257" s="242">
        <v>-70</v>
      </c>
      <c r="AI257" s="241">
        <v>150</v>
      </c>
      <c r="AJ257" s="241">
        <v>0</v>
      </c>
      <c r="AK257" s="241">
        <v>150</v>
      </c>
      <c r="AL257" s="240">
        <v>0</v>
      </c>
      <c r="AM257" s="241">
        <v>0</v>
      </c>
      <c r="AN257" s="242">
        <v>0</v>
      </c>
      <c r="AO257" s="240">
        <v>100</v>
      </c>
      <c r="AP257" s="241">
        <v>0</v>
      </c>
      <c r="AQ257" s="242">
        <v>100</v>
      </c>
      <c r="AR257" s="240">
        <v>150</v>
      </c>
      <c r="AS257" s="241">
        <v>-251.45999999999998</v>
      </c>
      <c r="AT257" s="242">
        <v>-101.45999999999998</v>
      </c>
    </row>
    <row r="258" spans="4:46" outlineLevel="2">
      <c r="D258" s="67" t="s">
        <v>17</v>
      </c>
      <c r="E258" s="85">
        <v>1600</v>
      </c>
      <c r="F258" s="84">
        <v>-1296.9989799999998</v>
      </c>
      <c r="G258" s="241">
        <v>303.00102000000015</v>
      </c>
      <c r="H258" s="69">
        <v>4.2721440961225557E-2</v>
      </c>
      <c r="J258" s="67" t="s">
        <v>17</v>
      </c>
      <c r="K258" s="240">
        <v>100</v>
      </c>
      <c r="L258" s="241">
        <v>-59.51</v>
      </c>
      <c r="M258" s="242">
        <v>40.49</v>
      </c>
      <c r="N258" s="240">
        <v>100</v>
      </c>
      <c r="O258" s="241">
        <v>-142.83897999999999</v>
      </c>
      <c r="P258" s="242">
        <v>-42.838979999999992</v>
      </c>
      <c r="Q258" s="240">
        <v>100</v>
      </c>
      <c r="R258" s="241">
        <v>-115.05</v>
      </c>
      <c r="S258" s="242">
        <v>-15.049999999999997</v>
      </c>
      <c r="T258" s="240">
        <v>100</v>
      </c>
      <c r="U258" s="241">
        <v>-108.17</v>
      </c>
      <c r="V258" s="242">
        <v>-8.1700000000000017</v>
      </c>
      <c r="W258" s="240">
        <v>150</v>
      </c>
      <c r="X258" s="241">
        <v>0</v>
      </c>
      <c r="Y258" s="242">
        <v>150</v>
      </c>
      <c r="Z258" s="241">
        <v>150</v>
      </c>
      <c r="AA258" s="241">
        <v>-65.78</v>
      </c>
      <c r="AB258" s="241">
        <v>84.22</v>
      </c>
      <c r="AC258" s="240">
        <v>150</v>
      </c>
      <c r="AD258" s="241">
        <v>0</v>
      </c>
      <c r="AE258" s="242">
        <v>150</v>
      </c>
      <c r="AF258" s="240">
        <v>150</v>
      </c>
      <c r="AG258" s="241">
        <v>0</v>
      </c>
      <c r="AH258" s="242">
        <v>150</v>
      </c>
      <c r="AI258" s="241">
        <v>150</v>
      </c>
      <c r="AJ258" s="241">
        <v>-266.58</v>
      </c>
      <c r="AK258" s="241">
        <v>-116.57999999999998</v>
      </c>
      <c r="AL258" s="240">
        <v>150</v>
      </c>
      <c r="AM258" s="241">
        <v>-492.07999999999993</v>
      </c>
      <c r="AN258" s="242">
        <v>-342.07999999999993</v>
      </c>
      <c r="AO258" s="240">
        <v>150</v>
      </c>
      <c r="AP258" s="241">
        <v>-106.5</v>
      </c>
      <c r="AQ258" s="242">
        <v>43.5</v>
      </c>
      <c r="AR258" s="240">
        <v>150</v>
      </c>
      <c r="AS258" s="241">
        <v>0</v>
      </c>
      <c r="AT258" s="242">
        <v>150</v>
      </c>
    </row>
    <row r="259" spans="4:46" outlineLevel="2">
      <c r="D259" s="67" t="s">
        <v>18</v>
      </c>
      <c r="E259" s="85">
        <v>320</v>
      </c>
      <c r="F259" s="84">
        <v>-525.21</v>
      </c>
      <c r="G259" s="241">
        <v>-205.21000000000004</v>
      </c>
      <c r="H259" s="69">
        <v>1.7299726794885589E-2</v>
      </c>
      <c r="J259" s="67" t="s">
        <v>18</v>
      </c>
      <c r="K259" s="240">
        <v>60</v>
      </c>
      <c r="L259" s="241">
        <v>0</v>
      </c>
      <c r="M259" s="242">
        <v>60</v>
      </c>
      <c r="N259" s="240">
        <v>0</v>
      </c>
      <c r="O259" s="241">
        <v>0</v>
      </c>
      <c r="P259" s="242">
        <v>0</v>
      </c>
      <c r="Q259" s="240">
        <v>0</v>
      </c>
      <c r="R259" s="241">
        <v>-166.26999999999998</v>
      </c>
      <c r="S259" s="242">
        <v>-166.26999999999998</v>
      </c>
      <c r="T259" s="240">
        <v>40</v>
      </c>
      <c r="U259" s="241">
        <v>-40</v>
      </c>
      <c r="V259" s="242">
        <v>0</v>
      </c>
      <c r="W259" s="240">
        <v>30</v>
      </c>
      <c r="X259" s="241">
        <v>-39.99</v>
      </c>
      <c r="Y259" s="242">
        <v>-9.990000000000002</v>
      </c>
      <c r="Z259" s="241">
        <v>30</v>
      </c>
      <c r="AA259" s="241">
        <v>-39.99</v>
      </c>
      <c r="AB259" s="241">
        <v>-9.990000000000002</v>
      </c>
      <c r="AC259" s="240">
        <v>40</v>
      </c>
      <c r="AD259" s="241">
        <v>-40</v>
      </c>
      <c r="AE259" s="242">
        <v>0</v>
      </c>
      <c r="AF259" s="240">
        <v>0</v>
      </c>
      <c r="AG259" s="241">
        <v>-78.990000000000009</v>
      </c>
      <c r="AH259" s="242">
        <v>-78.990000000000009</v>
      </c>
      <c r="AI259" s="241">
        <v>30</v>
      </c>
      <c r="AJ259" s="241">
        <v>-39.99</v>
      </c>
      <c r="AK259" s="241">
        <v>-9.990000000000002</v>
      </c>
      <c r="AL259" s="240">
        <v>30</v>
      </c>
      <c r="AM259" s="241">
        <v>-39.99</v>
      </c>
      <c r="AN259" s="242">
        <v>-9.990000000000002</v>
      </c>
      <c r="AO259" s="240">
        <v>30</v>
      </c>
      <c r="AP259" s="241">
        <v>-39.99</v>
      </c>
      <c r="AQ259" s="242">
        <v>-9.990000000000002</v>
      </c>
      <c r="AR259" s="240">
        <v>30</v>
      </c>
      <c r="AS259" s="241">
        <v>-166.23000000000002</v>
      </c>
      <c r="AT259" s="242">
        <v>-136.23000000000002</v>
      </c>
    </row>
    <row r="260" spans="4:46" outlineLevel="2">
      <c r="D260" s="67" t="s">
        <v>19</v>
      </c>
      <c r="E260" s="85">
        <v>7764</v>
      </c>
      <c r="F260" s="84">
        <v>-3286.7799999999997</v>
      </c>
      <c r="G260" s="241">
        <v>4477.22</v>
      </c>
      <c r="H260" s="69">
        <v>0.1082622113723921</v>
      </c>
      <c r="J260" s="67" t="s">
        <v>19</v>
      </c>
      <c r="K260" s="240">
        <v>846</v>
      </c>
      <c r="L260" s="241">
        <v>-712.41</v>
      </c>
      <c r="M260" s="242">
        <v>133.59000000000003</v>
      </c>
      <c r="N260" s="240">
        <v>1042</v>
      </c>
      <c r="O260" s="241">
        <v>-732.51</v>
      </c>
      <c r="P260" s="242">
        <v>309.49</v>
      </c>
      <c r="Q260" s="240">
        <v>1043</v>
      </c>
      <c r="R260" s="241">
        <v>-873.08999999999992</v>
      </c>
      <c r="S260" s="242">
        <v>169.91000000000008</v>
      </c>
      <c r="T260" s="240">
        <v>1043</v>
      </c>
      <c r="U260" s="241">
        <v>0</v>
      </c>
      <c r="V260" s="242">
        <v>1043</v>
      </c>
      <c r="W260" s="240">
        <v>848</v>
      </c>
      <c r="X260" s="241">
        <v>-1031.18</v>
      </c>
      <c r="Y260" s="242">
        <v>-183.18000000000006</v>
      </c>
      <c r="Z260" s="241">
        <v>0</v>
      </c>
      <c r="AA260" s="241">
        <v>0</v>
      </c>
      <c r="AB260" s="241">
        <v>0</v>
      </c>
      <c r="AC260" s="240">
        <v>0</v>
      </c>
      <c r="AD260" s="241">
        <v>0</v>
      </c>
      <c r="AE260" s="242">
        <v>0</v>
      </c>
      <c r="AF260" s="240">
        <v>300</v>
      </c>
      <c r="AG260" s="241">
        <v>-200</v>
      </c>
      <c r="AH260" s="242">
        <v>100</v>
      </c>
      <c r="AI260" s="241">
        <v>546</v>
      </c>
      <c r="AJ260" s="241">
        <v>-450</v>
      </c>
      <c r="AK260" s="241">
        <v>96</v>
      </c>
      <c r="AL260" s="240">
        <v>350</v>
      </c>
      <c r="AM260" s="241">
        <v>0</v>
      </c>
      <c r="AN260" s="242">
        <v>350</v>
      </c>
      <c r="AO260" s="240">
        <v>0</v>
      </c>
      <c r="AP260" s="241">
        <v>0</v>
      </c>
      <c r="AQ260" s="242">
        <v>0</v>
      </c>
      <c r="AR260" s="240">
        <v>1746</v>
      </c>
      <c r="AS260" s="241">
        <v>0</v>
      </c>
      <c r="AT260" s="242">
        <v>1746</v>
      </c>
    </row>
    <row r="261" spans="4:46" outlineLevel="2">
      <c r="D261" s="67" t="s">
        <v>20</v>
      </c>
      <c r="E261" s="85">
        <v>940</v>
      </c>
      <c r="F261" s="84">
        <v>-1760.55</v>
      </c>
      <c r="G261" s="241">
        <v>-820.55</v>
      </c>
      <c r="H261" s="69">
        <v>5.7990202031065335E-2</v>
      </c>
      <c r="J261" s="67" t="s">
        <v>20</v>
      </c>
      <c r="K261" s="240">
        <v>100</v>
      </c>
      <c r="L261" s="241">
        <v>-298.73</v>
      </c>
      <c r="M261" s="242">
        <v>-198.73000000000002</v>
      </c>
      <c r="N261" s="240">
        <v>100</v>
      </c>
      <c r="O261" s="241">
        <v>-73.14</v>
      </c>
      <c r="P261" s="242">
        <v>26.86</v>
      </c>
      <c r="Q261" s="240">
        <v>100</v>
      </c>
      <c r="R261" s="241">
        <v>-74.819999999999993</v>
      </c>
      <c r="S261" s="242">
        <v>25.180000000000007</v>
      </c>
      <c r="T261" s="240">
        <v>100</v>
      </c>
      <c r="U261" s="241">
        <v>-43</v>
      </c>
      <c r="V261" s="242">
        <v>57</v>
      </c>
      <c r="W261" s="240">
        <v>150</v>
      </c>
      <c r="X261" s="241">
        <v>-235.89999999999998</v>
      </c>
      <c r="Y261" s="242">
        <v>-85.899999999999977</v>
      </c>
      <c r="Z261" s="241">
        <v>50</v>
      </c>
      <c r="AA261" s="241">
        <v>-210.55</v>
      </c>
      <c r="AB261" s="241">
        <v>-160.55000000000001</v>
      </c>
      <c r="AC261" s="240">
        <v>70</v>
      </c>
      <c r="AD261" s="241">
        <v>-162.61000000000001</v>
      </c>
      <c r="AE261" s="242">
        <v>-92.610000000000014</v>
      </c>
      <c r="AF261" s="240">
        <v>70</v>
      </c>
      <c r="AG261" s="241">
        <v>-95</v>
      </c>
      <c r="AH261" s="242">
        <v>-25</v>
      </c>
      <c r="AI261" s="241">
        <v>50</v>
      </c>
      <c r="AJ261" s="241">
        <v>-310.05</v>
      </c>
      <c r="AK261" s="241">
        <v>-260.05</v>
      </c>
      <c r="AL261" s="240">
        <v>50</v>
      </c>
      <c r="AM261" s="241">
        <v>-419.48</v>
      </c>
      <c r="AN261" s="242">
        <v>-369.48</v>
      </c>
      <c r="AO261" s="240">
        <v>50</v>
      </c>
      <c r="AP261" s="241">
        <v>-136</v>
      </c>
      <c r="AQ261" s="242">
        <v>-86</v>
      </c>
      <c r="AR261" s="240">
        <v>50</v>
      </c>
      <c r="AS261" s="241">
        <v>-54.75</v>
      </c>
      <c r="AT261" s="242">
        <v>-4.75</v>
      </c>
    </row>
    <row r="262" spans="4:46" outlineLevel="2">
      <c r="D262" s="67" t="s">
        <v>21</v>
      </c>
      <c r="E262" s="85">
        <v>1480</v>
      </c>
      <c r="F262" s="84">
        <v>-878.05</v>
      </c>
      <c r="G262" s="241">
        <v>601.95000000000005</v>
      </c>
      <c r="H262" s="69">
        <v>2.8921812441212641E-2</v>
      </c>
      <c r="J262" s="67" t="s">
        <v>21</v>
      </c>
      <c r="K262" s="240">
        <v>130</v>
      </c>
      <c r="L262" s="241">
        <v>-120.5</v>
      </c>
      <c r="M262" s="242">
        <v>9.5</v>
      </c>
      <c r="N262" s="240">
        <v>130</v>
      </c>
      <c r="O262" s="241">
        <v>-38</v>
      </c>
      <c r="P262" s="242">
        <v>92</v>
      </c>
      <c r="Q262" s="240">
        <v>130</v>
      </c>
      <c r="R262" s="241">
        <v>-73</v>
      </c>
      <c r="S262" s="242">
        <v>57</v>
      </c>
      <c r="T262" s="240">
        <v>130</v>
      </c>
      <c r="U262" s="241">
        <v>-73</v>
      </c>
      <c r="V262" s="242">
        <v>57</v>
      </c>
      <c r="W262" s="240">
        <v>100</v>
      </c>
      <c r="X262" s="241">
        <v>-73</v>
      </c>
      <c r="Y262" s="242">
        <v>27</v>
      </c>
      <c r="Z262" s="241">
        <v>100</v>
      </c>
      <c r="AA262" s="241">
        <v>-73</v>
      </c>
      <c r="AB262" s="241">
        <v>27</v>
      </c>
      <c r="AC262" s="240">
        <v>200</v>
      </c>
      <c r="AD262" s="241">
        <v>-73</v>
      </c>
      <c r="AE262" s="242">
        <v>127</v>
      </c>
      <c r="AF262" s="240">
        <v>160</v>
      </c>
      <c r="AG262" s="241">
        <v>-73</v>
      </c>
      <c r="AH262" s="242">
        <v>87</v>
      </c>
      <c r="AI262" s="241">
        <v>100</v>
      </c>
      <c r="AJ262" s="241">
        <v>-73</v>
      </c>
      <c r="AK262" s="241">
        <v>27</v>
      </c>
      <c r="AL262" s="240">
        <v>100</v>
      </c>
      <c r="AM262" s="241">
        <v>-176.05</v>
      </c>
      <c r="AN262" s="242">
        <v>-76.050000000000011</v>
      </c>
      <c r="AO262" s="240">
        <v>100</v>
      </c>
      <c r="AP262" s="241">
        <v>-153</v>
      </c>
      <c r="AQ262" s="242">
        <v>-53</v>
      </c>
      <c r="AR262" s="240">
        <v>100</v>
      </c>
      <c r="AS262" s="241">
        <v>-75</v>
      </c>
      <c r="AT262" s="242">
        <v>25</v>
      </c>
    </row>
    <row r="263" spans="4:46" outlineLevel="2">
      <c r="D263" s="67" t="s">
        <v>22</v>
      </c>
      <c r="E263" s="85">
        <v>10029</v>
      </c>
      <c r="F263" s="84">
        <v>-8503.9700000000012</v>
      </c>
      <c r="G263" s="241">
        <v>1525.0299999999988</v>
      </c>
      <c r="H263" s="69">
        <v>0.28010958982483813</v>
      </c>
      <c r="J263" s="67" t="s">
        <v>22</v>
      </c>
      <c r="K263" s="240">
        <v>785</v>
      </c>
      <c r="L263" s="241">
        <v>0</v>
      </c>
      <c r="M263" s="242">
        <v>785</v>
      </c>
      <c r="N263" s="240">
        <v>1094</v>
      </c>
      <c r="O263" s="241">
        <v>-1094.97</v>
      </c>
      <c r="P263" s="242">
        <v>-0.97000000000002728</v>
      </c>
      <c r="Q263" s="240">
        <v>806</v>
      </c>
      <c r="R263" s="241">
        <v>-806</v>
      </c>
      <c r="S263" s="242">
        <v>0</v>
      </c>
      <c r="T263" s="240">
        <v>760</v>
      </c>
      <c r="U263" s="241">
        <v>-778</v>
      </c>
      <c r="V263" s="242">
        <v>-18</v>
      </c>
      <c r="W263" s="240">
        <v>500</v>
      </c>
      <c r="X263" s="241">
        <v>-778</v>
      </c>
      <c r="Y263" s="242">
        <v>-278</v>
      </c>
      <c r="Z263" s="241">
        <v>785</v>
      </c>
      <c r="AA263" s="241">
        <v>-778</v>
      </c>
      <c r="AB263" s="241">
        <v>7</v>
      </c>
      <c r="AC263" s="240">
        <v>1128</v>
      </c>
      <c r="AD263" s="241">
        <v>-778</v>
      </c>
      <c r="AE263" s="242">
        <v>350</v>
      </c>
      <c r="AF263" s="240">
        <v>1068</v>
      </c>
      <c r="AG263" s="241">
        <v>-1068</v>
      </c>
      <c r="AH263" s="242">
        <v>0</v>
      </c>
      <c r="AI263" s="241">
        <v>785</v>
      </c>
      <c r="AJ263" s="241">
        <v>-778</v>
      </c>
      <c r="AK263" s="241">
        <v>7</v>
      </c>
      <c r="AL263" s="240">
        <v>730</v>
      </c>
      <c r="AM263" s="241">
        <v>-817</v>
      </c>
      <c r="AN263" s="242">
        <v>-87</v>
      </c>
      <c r="AO263" s="240">
        <v>828</v>
      </c>
      <c r="AP263" s="241">
        <v>-828</v>
      </c>
      <c r="AQ263" s="242">
        <v>0</v>
      </c>
      <c r="AR263" s="240">
        <v>760</v>
      </c>
      <c r="AS263" s="241">
        <v>-828</v>
      </c>
      <c r="AT263" s="242">
        <v>-68</v>
      </c>
    </row>
    <row r="264" spans="4:46" outlineLevel="2">
      <c r="D264" s="67" t="s">
        <v>23</v>
      </c>
      <c r="E264" s="85">
        <v>2481</v>
      </c>
      <c r="F264" s="84">
        <v>-1280.54</v>
      </c>
      <c r="G264" s="241">
        <v>1200.46</v>
      </c>
      <c r="H264" s="69">
        <v>4.2179303802141598E-2</v>
      </c>
      <c r="J264" s="67" t="s">
        <v>23</v>
      </c>
      <c r="K264" s="240">
        <v>100</v>
      </c>
      <c r="L264" s="241">
        <v>0</v>
      </c>
      <c r="M264" s="242">
        <v>100</v>
      </c>
      <c r="N264" s="240">
        <v>70</v>
      </c>
      <c r="O264" s="241">
        <v>-127.28</v>
      </c>
      <c r="P264" s="242">
        <v>-57.28</v>
      </c>
      <c r="Q264" s="240">
        <v>70</v>
      </c>
      <c r="R264" s="241">
        <v>-67</v>
      </c>
      <c r="S264" s="242">
        <v>3</v>
      </c>
      <c r="T264" s="240">
        <v>0</v>
      </c>
      <c r="U264" s="241">
        <v>-738.3</v>
      </c>
      <c r="V264" s="242">
        <v>-738.3</v>
      </c>
      <c r="W264" s="240">
        <v>191</v>
      </c>
      <c r="X264" s="241">
        <v>0</v>
      </c>
      <c r="Y264" s="242">
        <v>191</v>
      </c>
      <c r="Z264" s="241">
        <v>50</v>
      </c>
      <c r="AA264" s="241">
        <v>0</v>
      </c>
      <c r="AB264" s="241">
        <v>50</v>
      </c>
      <c r="AC264" s="240">
        <v>0</v>
      </c>
      <c r="AD264" s="241">
        <v>-150</v>
      </c>
      <c r="AE264" s="242">
        <v>-150</v>
      </c>
      <c r="AF264" s="240">
        <v>0</v>
      </c>
      <c r="AG264" s="241">
        <v>-136</v>
      </c>
      <c r="AH264" s="242">
        <v>-136</v>
      </c>
      <c r="AI264" s="241">
        <v>100</v>
      </c>
      <c r="AJ264" s="241">
        <v>0</v>
      </c>
      <c r="AK264" s="241">
        <v>100</v>
      </c>
      <c r="AL264" s="240">
        <v>0</v>
      </c>
      <c r="AM264" s="241">
        <v>0</v>
      </c>
      <c r="AN264" s="242">
        <v>0</v>
      </c>
      <c r="AO264" s="240">
        <v>0</v>
      </c>
      <c r="AP264" s="241">
        <v>-61.96</v>
      </c>
      <c r="AQ264" s="242">
        <v>-61.96</v>
      </c>
      <c r="AR264" s="240">
        <v>1900</v>
      </c>
      <c r="AS264" s="241">
        <v>-109.53</v>
      </c>
      <c r="AT264" s="242">
        <v>1790.47</v>
      </c>
    </row>
    <row r="265" spans="4:46" outlineLevel="2">
      <c r="D265" s="67" t="s">
        <v>24</v>
      </c>
      <c r="E265" s="85">
        <v>1003</v>
      </c>
      <c r="F265" s="84">
        <v>-1153.27</v>
      </c>
      <c r="G265" s="241">
        <v>-150.26999999999998</v>
      </c>
      <c r="H265" s="69"/>
      <c r="J265" s="18" t="s">
        <v>24</v>
      </c>
      <c r="K265" s="240">
        <v>100</v>
      </c>
      <c r="L265" s="241">
        <v>0</v>
      </c>
      <c r="M265" s="242">
        <v>100</v>
      </c>
      <c r="N265" s="240">
        <v>40</v>
      </c>
      <c r="O265" s="241">
        <v>-76.27</v>
      </c>
      <c r="P265" s="242">
        <v>-36.269999999999996</v>
      </c>
      <c r="Q265" s="240">
        <v>70</v>
      </c>
      <c r="R265" s="241">
        <v>-56.49</v>
      </c>
      <c r="S265" s="242">
        <v>13.509999999999998</v>
      </c>
      <c r="T265" s="240">
        <v>1</v>
      </c>
      <c r="U265" s="241">
        <v>0</v>
      </c>
      <c r="V265" s="242">
        <v>1</v>
      </c>
      <c r="W265" s="240">
        <v>192</v>
      </c>
      <c r="X265" s="241">
        <v>-427.09</v>
      </c>
      <c r="Y265" s="242">
        <v>-235.08999999999997</v>
      </c>
      <c r="Z265" s="241">
        <v>100</v>
      </c>
      <c r="AA265" s="241">
        <v>-219.42000000000002</v>
      </c>
      <c r="AB265" s="241">
        <v>-119.42000000000002</v>
      </c>
      <c r="AC265" s="240">
        <v>100</v>
      </c>
      <c r="AD265" s="241">
        <v>-374</v>
      </c>
      <c r="AE265" s="242">
        <v>-274</v>
      </c>
      <c r="AF265" s="240">
        <v>100</v>
      </c>
      <c r="AG265" s="241">
        <v>0</v>
      </c>
      <c r="AH265" s="242">
        <v>100</v>
      </c>
      <c r="AI265" s="241">
        <v>100</v>
      </c>
      <c r="AJ265" s="241">
        <v>0</v>
      </c>
      <c r="AK265" s="241">
        <v>100</v>
      </c>
      <c r="AL265" s="240">
        <v>100</v>
      </c>
      <c r="AM265" s="241">
        <v>0</v>
      </c>
      <c r="AN265" s="242">
        <v>100</v>
      </c>
      <c r="AO265" s="240">
        <v>0</v>
      </c>
      <c r="AP265" s="241">
        <v>0</v>
      </c>
      <c r="AQ265" s="242">
        <v>0</v>
      </c>
      <c r="AR265" s="240">
        <v>100</v>
      </c>
      <c r="AS265" s="241">
        <v>0</v>
      </c>
      <c r="AT265" s="242">
        <v>100</v>
      </c>
    </row>
    <row r="266" spans="4:46" ht="13.5" outlineLevel="2" thickBot="1">
      <c r="D266" s="88" t="s">
        <v>25</v>
      </c>
      <c r="E266" s="85">
        <v>815</v>
      </c>
      <c r="F266" s="84">
        <v>-537.04</v>
      </c>
      <c r="G266" s="241">
        <v>277.96000000000004</v>
      </c>
      <c r="H266" s="71">
        <v>1.7689391439472509E-2</v>
      </c>
      <c r="J266" s="30" t="s">
        <v>25</v>
      </c>
      <c r="K266" s="240">
        <v>40</v>
      </c>
      <c r="L266" s="241">
        <v>0</v>
      </c>
      <c r="M266" s="247">
        <v>40</v>
      </c>
      <c r="N266" s="245">
        <v>40</v>
      </c>
      <c r="O266" s="246">
        <v>-76.27</v>
      </c>
      <c r="P266" s="247">
        <v>-36.269999999999996</v>
      </c>
      <c r="Q266" s="245">
        <v>40</v>
      </c>
      <c r="R266" s="246">
        <v>0</v>
      </c>
      <c r="S266" s="247">
        <v>40</v>
      </c>
      <c r="T266" s="240">
        <v>2</v>
      </c>
      <c r="U266" s="241">
        <v>0</v>
      </c>
      <c r="V266" s="242">
        <v>2</v>
      </c>
      <c r="W266" s="240">
        <v>193</v>
      </c>
      <c r="X266" s="241">
        <v>0</v>
      </c>
      <c r="Y266" s="242">
        <v>193</v>
      </c>
      <c r="Z266" s="241">
        <v>0</v>
      </c>
      <c r="AA266" s="241">
        <v>0</v>
      </c>
      <c r="AB266" s="241">
        <v>0</v>
      </c>
      <c r="AC266" s="240">
        <v>100</v>
      </c>
      <c r="AD266" s="241">
        <v>-374</v>
      </c>
      <c r="AE266" s="242">
        <v>-274</v>
      </c>
      <c r="AF266" s="240">
        <v>200</v>
      </c>
      <c r="AG266" s="241">
        <v>-41.77</v>
      </c>
      <c r="AH266" s="242">
        <v>158.22999999999999</v>
      </c>
      <c r="AI266" s="241">
        <v>100</v>
      </c>
      <c r="AJ266" s="241">
        <v>-45</v>
      </c>
      <c r="AK266" s="241">
        <v>55</v>
      </c>
      <c r="AL266" s="240">
        <v>0</v>
      </c>
      <c r="AM266" s="241">
        <v>0</v>
      </c>
      <c r="AN266" s="242">
        <v>0</v>
      </c>
      <c r="AO266" s="240">
        <v>0</v>
      </c>
      <c r="AP266" s="241">
        <v>0</v>
      </c>
      <c r="AQ266" s="242">
        <v>0</v>
      </c>
      <c r="AR266" s="240">
        <v>100</v>
      </c>
      <c r="AS266" s="241">
        <v>0</v>
      </c>
      <c r="AT266" s="242">
        <v>100</v>
      </c>
    </row>
    <row r="267" spans="4:46" ht="13.5" outlineLevel="2" thickBot="1">
      <c r="D267" s="72" t="s">
        <v>29</v>
      </c>
      <c r="E267" s="271">
        <v>37324.979999999996</v>
      </c>
      <c r="F267" s="272">
        <v>-33330.288979999998</v>
      </c>
      <c r="G267" s="273">
        <v>3994.6910199999993</v>
      </c>
      <c r="J267" s="75" t="s">
        <v>29</v>
      </c>
      <c r="K267" s="264">
        <v>3156</v>
      </c>
      <c r="L267" s="265">
        <v>-2190.0099999999998</v>
      </c>
      <c r="M267" s="266">
        <v>965.99</v>
      </c>
      <c r="N267" s="87">
        <f t="shared" ref="N267:AT267" si="48">SUM(N249:N266)</f>
        <v>3561</v>
      </c>
      <c r="O267" s="87">
        <f t="shared" si="48"/>
        <v>-3507.4289800000001</v>
      </c>
      <c r="P267" s="90">
        <f t="shared" si="48"/>
        <v>53.571020000000033</v>
      </c>
      <c r="Q267" s="89">
        <f t="shared" si="48"/>
        <v>3204</v>
      </c>
      <c r="R267" s="87">
        <f t="shared" si="48"/>
        <v>-3838.9499999999994</v>
      </c>
      <c r="S267" s="90">
        <f t="shared" si="48"/>
        <v>-634.94999999999982</v>
      </c>
      <c r="T267" s="264">
        <f t="shared" si="48"/>
        <v>2971</v>
      </c>
      <c r="U267" s="265">
        <f t="shared" si="48"/>
        <v>-3262.1100000000006</v>
      </c>
      <c r="V267" s="266">
        <f t="shared" si="48"/>
        <v>-291.1099999999999</v>
      </c>
      <c r="W267" s="264">
        <f t="shared" si="48"/>
        <v>3194</v>
      </c>
      <c r="X267" s="265">
        <f t="shared" si="48"/>
        <v>-4201.0200000000004</v>
      </c>
      <c r="Y267" s="266">
        <f t="shared" si="48"/>
        <v>-1007.0200000000002</v>
      </c>
      <c r="Z267" s="264">
        <f t="shared" si="48"/>
        <v>2184</v>
      </c>
      <c r="AA267" s="265">
        <f t="shared" si="48"/>
        <v>-2703.58</v>
      </c>
      <c r="AB267" s="266">
        <f t="shared" si="48"/>
        <v>-519.58000000000004</v>
      </c>
      <c r="AC267" s="264">
        <f t="shared" si="48"/>
        <v>2690.99</v>
      </c>
      <c r="AD267" s="265">
        <f t="shared" si="48"/>
        <v>-3494.2799999999997</v>
      </c>
      <c r="AE267" s="266">
        <f t="shared" si="48"/>
        <v>-803.28999999999985</v>
      </c>
      <c r="AF267" s="264">
        <f t="shared" si="48"/>
        <v>2819.99</v>
      </c>
      <c r="AG267" s="265">
        <f t="shared" si="48"/>
        <v>-3299.98</v>
      </c>
      <c r="AH267" s="266">
        <f t="shared" si="48"/>
        <v>-479.9899999999999</v>
      </c>
      <c r="AI267" s="264">
        <f t="shared" si="48"/>
        <v>3049</v>
      </c>
      <c r="AJ267" s="265">
        <f t="shared" si="48"/>
        <v>-3287.63</v>
      </c>
      <c r="AK267" s="266">
        <f t="shared" si="48"/>
        <v>-238.62999999999988</v>
      </c>
      <c r="AL267" s="264">
        <f t="shared" si="48"/>
        <v>2418</v>
      </c>
      <c r="AM267" s="265">
        <f t="shared" si="48"/>
        <v>-2694.93</v>
      </c>
      <c r="AN267" s="266">
        <f t="shared" si="48"/>
        <v>-276.92999999999995</v>
      </c>
      <c r="AO267" s="264">
        <f t="shared" si="48"/>
        <v>2103</v>
      </c>
      <c r="AP267" s="265">
        <f t="shared" si="48"/>
        <v>-3040.38</v>
      </c>
      <c r="AQ267" s="266">
        <f t="shared" si="48"/>
        <v>-937.38</v>
      </c>
      <c r="AR267" s="264">
        <f t="shared" si="48"/>
        <v>5974</v>
      </c>
      <c r="AS267" s="265">
        <f t="shared" si="48"/>
        <v>-3035.53</v>
      </c>
      <c r="AT267" s="266">
        <f t="shared" si="48"/>
        <v>2900.4700000000003</v>
      </c>
    </row>
    <row r="268" spans="4:46" ht="14.1" customHeight="1" outlineLevel="2" thickBot="1">
      <c r="E268" s="705">
        <v>2015</v>
      </c>
      <c r="F268" s="706"/>
      <c r="G268" s="707"/>
      <c r="J268" s="58">
        <v>2015</v>
      </c>
      <c r="K268" s="710">
        <v>42005</v>
      </c>
      <c r="L268" s="711"/>
      <c r="M268" s="712"/>
      <c r="N268" s="710">
        <v>42036</v>
      </c>
      <c r="O268" s="711"/>
      <c r="P268" s="712"/>
      <c r="Q268" s="710">
        <v>42064</v>
      </c>
      <c r="R268" s="711"/>
      <c r="S268" s="712"/>
      <c r="T268" s="710">
        <v>42095</v>
      </c>
      <c r="U268" s="711"/>
      <c r="V268" s="712"/>
      <c r="W268" s="710">
        <v>42125</v>
      </c>
      <c r="X268" s="711"/>
      <c r="Y268" s="712"/>
      <c r="Z268" s="710">
        <v>42156</v>
      </c>
      <c r="AA268" s="711"/>
      <c r="AB268" s="712"/>
      <c r="AC268" s="710">
        <v>42186</v>
      </c>
      <c r="AD268" s="711"/>
      <c r="AE268" s="712"/>
      <c r="AF268" s="710">
        <v>42217</v>
      </c>
      <c r="AG268" s="711"/>
      <c r="AH268" s="712"/>
      <c r="AI268" s="710">
        <v>42248</v>
      </c>
      <c r="AJ268" s="711"/>
      <c r="AK268" s="712"/>
      <c r="AL268" s="710">
        <v>42278</v>
      </c>
      <c r="AM268" s="711"/>
      <c r="AN268" s="712"/>
      <c r="AO268" s="710">
        <v>42309</v>
      </c>
      <c r="AP268" s="711"/>
      <c r="AQ268" s="712"/>
      <c r="AR268" s="710">
        <v>42339</v>
      </c>
      <c r="AS268" s="711"/>
      <c r="AT268" s="712"/>
    </row>
    <row r="269" spans="4:46" ht="13.5" outlineLevel="2" thickBot="1">
      <c r="D269" s="59" t="s">
        <v>7</v>
      </c>
      <c r="E269" s="60" t="s">
        <v>60</v>
      </c>
      <c r="F269" s="61" t="s">
        <v>61</v>
      </c>
      <c r="G269" s="62" t="s">
        <v>62</v>
      </c>
      <c r="H269" s="63" t="s">
        <v>73</v>
      </c>
      <c r="J269" s="59" t="s">
        <v>7</v>
      </c>
      <c r="K269" s="261" t="s">
        <v>60</v>
      </c>
      <c r="L269" s="262" t="s">
        <v>61</v>
      </c>
      <c r="M269" s="263" t="s">
        <v>62</v>
      </c>
      <c r="N269" s="261" t="s">
        <v>60</v>
      </c>
      <c r="O269" s="262" t="s">
        <v>61</v>
      </c>
      <c r="P269" s="262" t="s">
        <v>62</v>
      </c>
      <c r="Q269" s="261" t="s">
        <v>60</v>
      </c>
      <c r="R269" s="262" t="s">
        <v>61</v>
      </c>
      <c r="S269" s="263" t="s">
        <v>62</v>
      </c>
      <c r="T269" s="261" t="s">
        <v>60</v>
      </c>
      <c r="U269" s="262" t="s">
        <v>61</v>
      </c>
      <c r="V269" s="263" t="s">
        <v>62</v>
      </c>
      <c r="W269" s="261" t="s">
        <v>60</v>
      </c>
      <c r="X269" s="262" t="s">
        <v>61</v>
      </c>
      <c r="Y269" s="263" t="s">
        <v>62</v>
      </c>
      <c r="Z269" s="261" t="s">
        <v>60</v>
      </c>
      <c r="AA269" s="262" t="s">
        <v>61</v>
      </c>
      <c r="AB269" s="263" t="s">
        <v>62</v>
      </c>
      <c r="AC269" s="261" t="s">
        <v>60</v>
      </c>
      <c r="AD269" s="262" t="s">
        <v>61</v>
      </c>
      <c r="AE269" s="263" t="s">
        <v>62</v>
      </c>
      <c r="AF269" s="261" t="s">
        <v>60</v>
      </c>
      <c r="AG269" s="262" t="s">
        <v>61</v>
      </c>
      <c r="AH269" s="263" t="s">
        <v>62</v>
      </c>
      <c r="AI269" s="261" t="s">
        <v>60</v>
      </c>
      <c r="AJ269" s="262" t="s">
        <v>61</v>
      </c>
      <c r="AK269" s="263" t="s">
        <v>62</v>
      </c>
      <c r="AL269" s="261" t="s">
        <v>60</v>
      </c>
      <c r="AM269" s="262" t="s">
        <v>61</v>
      </c>
      <c r="AN269" s="263" t="s">
        <v>62</v>
      </c>
      <c r="AO269" s="261" t="s">
        <v>60</v>
      </c>
      <c r="AP269" s="262" t="s">
        <v>61</v>
      </c>
      <c r="AQ269" s="263" t="s">
        <v>62</v>
      </c>
      <c r="AR269" s="261" t="s">
        <v>60</v>
      </c>
      <c r="AS269" s="262" t="s">
        <v>61</v>
      </c>
      <c r="AT269" s="263" t="s">
        <v>62</v>
      </c>
    </row>
    <row r="270" spans="4:46" outlineLevel="2">
      <c r="D270" s="64" t="s">
        <v>8</v>
      </c>
      <c r="E270" s="82">
        <v>1065.98</v>
      </c>
      <c r="F270" s="80">
        <v>-987.32</v>
      </c>
      <c r="G270" s="236">
        <v>78.659999999999968</v>
      </c>
      <c r="H270" s="66">
        <v>2.9741116252785634E-2</v>
      </c>
      <c r="J270" s="64" t="s">
        <v>8</v>
      </c>
      <c r="K270" s="235">
        <v>95</v>
      </c>
      <c r="L270" s="236">
        <v>-93.99</v>
      </c>
      <c r="M270" s="237">
        <v>1.0100000000000051</v>
      </c>
      <c r="N270" s="235">
        <v>95</v>
      </c>
      <c r="O270" s="236">
        <v>-93.509999999999991</v>
      </c>
      <c r="P270" s="237">
        <v>1.4900000000000091</v>
      </c>
      <c r="Q270" s="235">
        <v>95</v>
      </c>
      <c r="R270" s="236">
        <v>-93.99</v>
      </c>
      <c r="S270" s="237">
        <v>1.0100000000000051</v>
      </c>
      <c r="T270" s="235">
        <v>95</v>
      </c>
      <c r="U270" s="236">
        <v>-97.99</v>
      </c>
      <c r="V270" s="237">
        <v>-2.9899999999999949</v>
      </c>
      <c r="W270" s="235">
        <v>75</v>
      </c>
      <c r="X270" s="236">
        <v>-98</v>
      </c>
      <c r="Y270" s="237">
        <v>-23</v>
      </c>
      <c r="Z270" s="236">
        <v>75</v>
      </c>
      <c r="AA270" s="236">
        <v>-97.99</v>
      </c>
      <c r="AB270" s="236">
        <v>-22.989999999999995</v>
      </c>
      <c r="AC270" s="235">
        <v>97.99</v>
      </c>
      <c r="AD270" s="236">
        <v>-97.88</v>
      </c>
      <c r="AE270" s="237">
        <v>0.10999999999999943</v>
      </c>
      <c r="AF270" s="235">
        <v>97.99</v>
      </c>
      <c r="AG270" s="236">
        <v>-97.99</v>
      </c>
      <c r="AH270" s="237">
        <v>0</v>
      </c>
      <c r="AI270" s="236">
        <v>75</v>
      </c>
      <c r="AJ270" s="236">
        <v>-97.99</v>
      </c>
      <c r="AK270" s="236">
        <v>-22.989999999999995</v>
      </c>
      <c r="AL270" s="235">
        <v>95</v>
      </c>
      <c r="AM270" s="236">
        <v>-20</v>
      </c>
      <c r="AN270" s="237">
        <v>75</v>
      </c>
      <c r="AO270" s="235">
        <v>95</v>
      </c>
      <c r="AP270" s="236">
        <v>-97.99</v>
      </c>
      <c r="AQ270" s="237">
        <v>-2.9899999999999949</v>
      </c>
      <c r="AR270" s="235">
        <v>75</v>
      </c>
      <c r="AS270" s="236">
        <v>-97.99</v>
      </c>
      <c r="AT270" s="237">
        <v>75</v>
      </c>
    </row>
    <row r="271" spans="4:46" outlineLevel="2">
      <c r="D271" s="67" t="s">
        <v>9</v>
      </c>
      <c r="E271" s="85">
        <v>645</v>
      </c>
      <c r="F271" s="84">
        <v>-495.80999999999995</v>
      </c>
      <c r="G271" s="241">
        <v>149.19000000000005</v>
      </c>
      <c r="H271" s="69">
        <v>1.4935322741657864E-2</v>
      </c>
      <c r="J271" s="67" t="s">
        <v>9</v>
      </c>
      <c r="K271" s="240">
        <v>45</v>
      </c>
      <c r="L271" s="241">
        <v>-47.28</v>
      </c>
      <c r="M271" s="242">
        <v>-2.2800000000000011</v>
      </c>
      <c r="N271" s="240">
        <v>45</v>
      </c>
      <c r="O271" s="241">
        <v>0</v>
      </c>
      <c r="P271" s="242">
        <v>45</v>
      </c>
      <c r="Q271" s="240">
        <v>45</v>
      </c>
      <c r="R271" s="241">
        <v>-47.28</v>
      </c>
      <c r="S271" s="242">
        <v>-2.2800000000000011</v>
      </c>
      <c r="T271" s="240">
        <v>45</v>
      </c>
      <c r="U271" s="241">
        <v>-47.25</v>
      </c>
      <c r="V271" s="242">
        <v>-2.25</v>
      </c>
      <c r="W271" s="240">
        <v>45</v>
      </c>
      <c r="X271" s="241">
        <v>-47.28</v>
      </c>
      <c r="Y271" s="242">
        <v>-2.2800000000000011</v>
      </c>
      <c r="Z271" s="241">
        <v>45</v>
      </c>
      <c r="AA271" s="241">
        <v>-47.28</v>
      </c>
      <c r="AB271" s="241">
        <v>-2.2800000000000011</v>
      </c>
      <c r="AC271" s="240">
        <v>0</v>
      </c>
      <c r="AD271" s="241">
        <v>0</v>
      </c>
      <c r="AE271" s="242">
        <v>0</v>
      </c>
      <c r="AF271" s="240">
        <v>75</v>
      </c>
      <c r="AG271" s="241">
        <v>-82.199999999999989</v>
      </c>
      <c r="AH271" s="242">
        <v>-7.1999999999999886</v>
      </c>
      <c r="AI271" s="241">
        <v>75</v>
      </c>
      <c r="AJ271" s="241">
        <v>-78.599999999999994</v>
      </c>
      <c r="AK271" s="241">
        <v>-3.5999999999999943</v>
      </c>
      <c r="AL271" s="240">
        <v>75</v>
      </c>
      <c r="AM271" s="241">
        <v>-20</v>
      </c>
      <c r="AN271" s="242">
        <v>55</v>
      </c>
      <c r="AO271" s="240">
        <v>75</v>
      </c>
      <c r="AP271" s="241">
        <v>-78.64</v>
      </c>
      <c r="AQ271" s="242">
        <v>-3.6400000000000006</v>
      </c>
      <c r="AR271" s="240">
        <v>75</v>
      </c>
      <c r="AS271" s="241">
        <v>-78.64</v>
      </c>
      <c r="AT271" s="242">
        <v>75</v>
      </c>
    </row>
    <row r="272" spans="4:46" outlineLevel="2">
      <c r="D272" s="67" t="s">
        <v>10</v>
      </c>
      <c r="E272" s="85">
        <v>415</v>
      </c>
      <c r="F272" s="84">
        <v>-91</v>
      </c>
      <c r="G272" s="241">
        <v>324</v>
      </c>
      <c r="H272" s="69">
        <v>2.7411999949393229E-3</v>
      </c>
      <c r="J272" s="67" t="s">
        <v>10</v>
      </c>
      <c r="K272" s="240">
        <v>25</v>
      </c>
      <c r="L272" s="241">
        <v>0</v>
      </c>
      <c r="M272" s="242">
        <v>25</v>
      </c>
      <c r="N272" s="240">
        <v>25</v>
      </c>
      <c r="O272" s="241">
        <v>-26</v>
      </c>
      <c r="P272" s="242">
        <v>-1</v>
      </c>
      <c r="Q272" s="240">
        <v>25</v>
      </c>
      <c r="R272" s="241">
        <v>0</v>
      </c>
      <c r="S272" s="242">
        <v>25</v>
      </c>
      <c r="T272" s="240">
        <v>25</v>
      </c>
      <c r="U272" s="241">
        <v>0</v>
      </c>
      <c r="V272" s="242">
        <v>25</v>
      </c>
      <c r="W272" s="240">
        <v>40</v>
      </c>
      <c r="X272" s="241">
        <v>-65</v>
      </c>
      <c r="Y272" s="242">
        <v>-25</v>
      </c>
      <c r="Z272" s="241">
        <v>40</v>
      </c>
      <c r="AA272" s="241">
        <v>0</v>
      </c>
      <c r="AB272" s="241">
        <v>40</v>
      </c>
      <c r="AC272" s="240">
        <v>30</v>
      </c>
      <c r="AD272" s="241">
        <v>0</v>
      </c>
      <c r="AE272" s="242">
        <v>30</v>
      </c>
      <c r="AF272" s="240">
        <v>30</v>
      </c>
      <c r="AG272" s="241">
        <v>0</v>
      </c>
      <c r="AH272" s="242">
        <v>30</v>
      </c>
      <c r="AI272" s="241">
        <v>50</v>
      </c>
      <c r="AJ272" s="241">
        <v>0</v>
      </c>
      <c r="AK272" s="241">
        <v>50</v>
      </c>
      <c r="AL272" s="240">
        <v>50</v>
      </c>
      <c r="AM272" s="241">
        <v>0</v>
      </c>
      <c r="AN272" s="242">
        <v>50</v>
      </c>
      <c r="AO272" s="240">
        <v>25</v>
      </c>
      <c r="AP272" s="241">
        <v>0</v>
      </c>
      <c r="AQ272" s="242">
        <v>25</v>
      </c>
      <c r="AR272" s="240">
        <v>50</v>
      </c>
      <c r="AS272" s="241">
        <v>0</v>
      </c>
      <c r="AT272" s="242">
        <v>50</v>
      </c>
    </row>
    <row r="273" spans="4:46" outlineLevel="2">
      <c r="D273" s="67" t="s">
        <v>11</v>
      </c>
      <c r="E273" s="85">
        <v>560</v>
      </c>
      <c r="F273" s="84">
        <v>-116.71</v>
      </c>
      <c r="G273" s="241">
        <v>443.29</v>
      </c>
      <c r="H273" s="69">
        <v>3.5156643012018503E-3</v>
      </c>
      <c r="J273" s="67" t="s">
        <v>11</v>
      </c>
      <c r="K273" s="240">
        <v>50</v>
      </c>
      <c r="L273" s="241">
        <v>0</v>
      </c>
      <c r="M273" s="242">
        <v>50</v>
      </c>
      <c r="N273" s="240">
        <v>50</v>
      </c>
      <c r="O273" s="241">
        <v>0</v>
      </c>
      <c r="P273" s="242">
        <v>50</v>
      </c>
      <c r="Q273" s="240">
        <v>50</v>
      </c>
      <c r="R273" s="241">
        <v>0</v>
      </c>
      <c r="S273" s="242">
        <v>50</v>
      </c>
      <c r="T273" s="240">
        <v>50</v>
      </c>
      <c r="U273" s="241">
        <v>-43</v>
      </c>
      <c r="V273" s="242">
        <v>7</v>
      </c>
      <c r="W273" s="240">
        <v>50</v>
      </c>
      <c r="X273" s="241">
        <v>0</v>
      </c>
      <c r="Y273" s="242">
        <v>50</v>
      </c>
      <c r="Z273" s="241">
        <v>50</v>
      </c>
      <c r="AA273" s="241">
        <v>-73.709999999999994</v>
      </c>
      <c r="AB273" s="241">
        <v>-23.709999999999994</v>
      </c>
      <c r="AC273" s="240">
        <v>30</v>
      </c>
      <c r="AD273" s="241">
        <v>0</v>
      </c>
      <c r="AE273" s="242">
        <v>30</v>
      </c>
      <c r="AF273" s="240">
        <v>30</v>
      </c>
      <c r="AG273" s="241">
        <v>0</v>
      </c>
      <c r="AH273" s="242">
        <v>30</v>
      </c>
      <c r="AI273" s="241">
        <v>50</v>
      </c>
      <c r="AJ273" s="241">
        <v>0</v>
      </c>
      <c r="AK273" s="241">
        <v>50</v>
      </c>
      <c r="AL273" s="240">
        <v>50</v>
      </c>
      <c r="AM273" s="241">
        <v>0</v>
      </c>
      <c r="AN273" s="242">
        <v>50</v>
      </c>
      <c r="AO273" s="240">
        <v>50</v>
      </c>
      <c r="AP273" s="241">
        <v>0</v>
      </c>
      <c r="AQ273" s="242">
        <v>50</v>
      </c>
      <c r="AR273" s="240">
        <v>50</v>
      </c>
      <c r="AS273" s="241">
        <v>-40</v>
      </c>
      <c r="AT273" s="242">
        <v>50</v>
      </c>
    </row>
    <row r="274" spans="4:46" outlineLevel="2">
      <c r="D274" s="67" t="s">
        <v>75</v>
      </c>
      <c r="E274" s="85">
        <v>456</v>
      </c>
      <c r="F274" s="84">
        <v>-456.28</v>
      </c>
      <c r="G274" s="241">
        <v>-0.27999999999997272</v>
      </c>
      <c r="H274" s="69">
        <v>1.374455751308697E-2</v>
      </c>
      <c r="J274" s="67" t="s">
        <v>75</v>
      </c>
      <c r="K274" s="240">
        <v>38</v>
      </c>
      <c r="L274" s="241">
        <v>-38</v>
      </c>
      <c r="M274" s="242">
        <v>0</v>
      </c>
      <c r="N274" s="240">
        <v>38</v>
      </c>
      <c r="O274" s="241">
        <v>-38</v>
      </c>
      <c r="P274" s="242">
        <v>0</v>
      </c>
      <c r="Q274" s="240">
        <v>38</v>
      </c>
      <c r="R274" s="241">
        <v>-38</v>
      </c>
      <c r="S274" s="242">
        <v>0</v>
      </c>
      <c r="T274" s="240">
        <v>38</v>
      </c>
      <c r="U274" s="241">
        <v>-38.28</v>
      </c>
      <c r="V274" s="242">
        <v>-0.28000000000000114</v>
      </c>
      <c r="W274" s="240">
        <v>38</v>
      </c>
      <c r="X274" s="241">
        <v>-38</v>
      </c>
      <c r="Y274" s="242">
        <v>0</v>
      </c>
      <c r="Z274" s="241">
        <v>38</v>
      </c>
      <c r="AA274" s="241">
        <v>-38</v>
      </c>
      <c r="AB274" s="241">
        <v>0</v>
      </c>
      <c r="AC274" s="240">
        <v>38</v>
      </c>
      <c r="AD274" s="241">
        <v>-38</v>
      </c>
      <c r="AE274" s="242">
        <v>0</v>
      </c>
      <c r="AF274" s="240">
        <v>38</v>
      </c>
      <c r="AG274" s="241">
        <v>-38</v>
      </c>
      <c r="AH274" s="242">
        <v>0</v>
      </c>
      <c r="AI274" s="241">
        <v>38</v>
      </c>
      <c r="AJ274" s="241">
        <v>-38</v>
      </c>
      <c r="AK274" s="241">
        <v>0</v>
      </c>
      <c r="AL274" s="240">
        <v>38</v>
      </c>
      <c r="AM274" s="241">
        <v>-38</v>
      </c>
      <c r="AN274" s="242">
        <v>0</v>
      </c>
      <c r="AO274" s="240">
        <v>38</v>
      </c>
      <c r="AP274" s="241">
        <v>-38</v>
      </c>
      <c r="AQ274" s="242">
        <v>0</v>
      </c>
      <c r="AR274" s="240">
        <v>38</v>
      </c>
      <c r="AS274" s="241">
        <v>-38</v>
      </c>
      <c r="AT274" s="242">
        <v>0</v>
      </c>
    </row>
    <row r="275" spans="4:46" outlineLevel="2">
      <c r="D275" s="67" t="s">
        <v>13</v>
      </c>
      <c r="E275" s="85">
        <v>3650</v>
      </c>
      <c r="F275" s="84">
        <v>-4867.59</v>
      </c>
      <c r="G275" s="241">
        <v>-1217.5900000000001</v>
      </c>
      <c r="H275" s="69">
        <v>0.1466267877293044</v>
      </c>
      <c r="J275" s="67" t="s">
        <v>13</v>
      </c>
      <c r="K275" s="240">
        <v>400</v>
      </c>
      <c r="L275" s="241">
        <v>-341.58000000000004</v>
      </c>
      <c r="M275" s="242">
        <v>58.419999999999959</v>
      </c>
      <c r="N275" s="240">
        <v>350</v>
      </c>
      <c r="O275" s="241">
        <v>-260.07000000000005</v>
      </c>
      <c r="P275" s="242">
        <v>89.92999999999995</v>
      </c>
      <c r="Q275" s="240">
        <v>300</v>
      </c>
      <c r="R275" s="241">
        <v>-611.03</v>
      </c>
      <c r="S275" s="242">
        <v>-311.02999999999997</v>
      </c>
      <c r="T275" s="240">
        <v>300</v>
      </c>
      <c r="U275" s="241">
        <v>-278.81</v>
      </c>
      <c r="V275" s="242">
        <v>21.189999999999998</v>
      </c>
      <c r="W275" s="240">
        <v>300</v>
      </c>
      <c r="X275" s="241">
        <v>-376.09000000000003</v>
      </c>
      <c r="Y275" s="242">
        <v>-76.090000000000032</v>
      </c>
      <c r="Z275" s="241">
        <v>300</v>
      </c>
      <c r="AA275" s="241">
        <v>-403.47</v>
      </c>
      <c r="AB275" s="241">
        <v>-103.47000000000003</v>
      </c>
      <c r="AC275" s="240">
        <v>250</v>
      </c>
      <c r="AD275" s="241">
        <v>-190.42</v>
      </c>
      <c r="AE275" s="242">
        <v>59.580000000000013</v>
      </c>
      <c r="AF275" s="240">
        <v>250</v>
      </c>
      <c r="AG275" s="241">
        <v>-474.43</v>
      </c>
      <c r="AH275" s="242">
        <v>-224.43</v>
      </c>
      <c r="AI275" s="241">
        <v>300</v>
      </c>
      <c r="AJ275" s="241">
        <v>-275.32</v>
      </c>
      <c r="AK275" s="241">
        <v>24.680000000000007</v>
      </c>
      <c r="AL275" s="240">
        <v>300</v>
      </c>
      <c r="AM275" s="241">
        <v>-736.78</v>
      </c>
      <c r="AN275" s="242">
        <v>-436.78</v>
      </c>
      <c r="AO275" s="240">
        <v>300</v>
      </c>
      <c r="AP275" s="241">
        <v>-760.69</v>
      </c>
      <c r="AQ275" s="242">
        <v>-460.69000000000005</v>
      </c>
      <c r="AR275" s="240">
        <v>300</v>
      </c>
      <c r="AS275" s="241">
        <v>-1153.81</v>
      </c>
      <c r="AT275" s="242">
        <v>141.10000000000002</v>
      </c>
    </row>
    <row r="276" spans="4:46" outlineLevel="2">
      <c r="D276" s="70" t="s">
        <v>14</v>
      </c>
      <c r="E276" s="85">
        <v>1000</v>
      </c>
      <c r="F276" s="84">
        <v>-1280.43</v>
      </c>
      <c r="G276" s="241">
        <v>-280.43000000000006</v>
      </c>
      <c r="H276" s="69">
        <v>3.8570491313408325E-2</v>
      </c>
      <c r="J276" s="70" t="s">
        <v>14</v>
      </c>
      <c r="K276" s="240">
        <v>50</v>
      </c>
      <c r="L276" s="241">
        <v>-144.63999999999999</v>
      </c>
      <c r="M276" s="242">
        <v>-94.639999999999986</v>
      </c>
      <c r="N276" s="240">
        <v>50</v>
      </c>
      <c r="O276" s="241">
        <v>-45.370000000000005</v>
      </c>
      <c r="P276" s="242">
        <v>4.6299999999999955</v>
      </c>
      <c r="Q276" s="240">
        <v>50</v>
      </c>
      <c r="R276" s="241">
        <v>-90.05</v>
      </c>
      <c r="S276" s="242">
        <v>-40.049999999999997</v>
      </c>
      <c r="T276" s="240">
        <v>50</v>
      </c>
      <c r="U276" s="241">
        <v>-4.08</v>
      </c>
      <c r="V276" s="242">
        <v>45.92</v>
      </c>
      <c r="W276" s="240">
        <v>100</v>
      </c>
      <c r="X276" s="241">
        <v>-88.09</v>
      </c>
      <c r="Y276" s="242">
        <v>11.909999999999997</v>
      </c>
      <c r="Z276" s="241">
        <v>100</v>
      </c>
      <c r="AA276" s="241">
        <v>-126.87</v>
      </c>
      <c r="AB276" s="241">
        <v>-26.870000000000005</v>
      </c>
      <c r="AC276" s="240">
        <v>75</v>
      </c>
      <c r="AD276" s="241">
        <v>-114.02000000000001</v>
      </c>
      <c r="AE276" s="242">
        <v>-39.02000000000001</v>
      </c>
      <c r="AF276" s="240">
        <v>75</v>
      </c>
      <c r="AG276" s="241">
        <v>-28.970000000000002</v>
      </c>
      <c r="AH276" s="242">
        <v>46.03</v>
      </c>
      <c r="AI276" s="241">
        <v>150</v>
      </c>
      <c r="AJ276" s="241">
        <v>-369.79</v>
      </c>
      <c r="AK276" s="241">
        <v>-219.79000000000002</v>
      </c>
      <c r="AL276" s="240">
        <v>100</v>
      </c>
      <c r="AM276" s="241">
        <v>-111.56</v>
      </c>
      <c r="AN276" s="242">
        <v>-11.560000000000002</v>
      </c>
      <c r="AO276" s="240">
        <v>100</v>
      </c>
      <c r="AP276" s="241">
        <v>-156.99</v>
      </c>
      <c r="AQ276" s="242">
        <v>-56.990000000000009</v>
      </c>
      <c r="AR276" s="240">
        <v>100</v>
      </c>
      <c r="AS276" s="241">
        <v>-29.71</v>
      </c>
      <c r="AT276" s="242">
        <v>100</v>
      </c>
    </row>
    <row r="277" spans="4:46" outlineLevel="2">
      <c r="D277" s="67" t="s">
        <v>15</v>
      </c>
      <c r="E277" s="85">
        <v>2440</v>
      </c>
      <c r="F277" s="84">
        <v>-1967.5500000000002</v>
      </c>
      <c r="G277" s="241">
        <v>472.44999999999982</v>
      </c>
      <c r="H277" s="69">
        <v>5.9268659890580944E-2</v>
      </c>
      <c r="J277" s="67" t="s">
        <v>15</v>
      </c>
      <c r="K277" s="240">
        <v>200</v>
      </c>
      <c r="L277" s="241">
        <v>-115.38</v>
      </c>
      <c r="M277" s="242">
        <v>84.62</v>
      </c>
      <c r="N277" s="240">
        <v>200</v>
      </c>
      <c r="O277" s="241">
        <v>-272.91000000000003</v>
      </c>
      <c r="P277" s="242">
        <v>-72.910000000000025</v>
      </c>
      <c r="Q277" s="240">
        <v>200</v>
      </c>
      <c r="R277" s="241">
        <v>-284.12</v>
      </c>
      <c r="S277" s="242">
        <v>-84.12</v>
      </c>
      <c r="T277" s="240">
        <v>200</v>
      </c>
      <c r="U277" s="241">
        <v>0</v>
      </c>
      <c r="V277" s="242">
        <v>200</v>
      </c>
      <c r="W277" s="240">
        <v>200</v>
      </c>
      <c r="X277" s="241">
        <v>0</v>
      </c>
      <c r="Y277" s="242">
        <v>200</v>
      </c>
      <c r="Z277" s="241">
        <v>200</v>
      </c>
      <c r="AA277" s="241">
        <v>-270.39999999999998</v>
      </c>
      <c r="AB277" s="241">
        <v>-70.399999999999977</v>
      </c>
      <c r="AC277" s="240">
        <v>220</v>
      </c>
      <c r="AD277" s="241">
        <v>-314.66000000000003</v>
      </c>
      <c r="AE277" s="242">
        <v>-94.660000000000025</v>
      </c>
      <c r="AF277" s="240">
        <v>220</v>
      </c>
      <c r="AG277" s="241">
        <v>-164.56</v>
      </c>
      <c r="AH277" s="242">
        <v>55.44</v>
      </c>
      <c r="AI277" s="241">
        <v>200</v>
      </c>
      <c r="AJ277" s="241">
        <v>0</v>
      </c>
      <c r="AK277" s="241">
        <v>200</v>
      </c>
      <c r="AL277" s="240">
        <v>200</v>
      </c>
      <c r="AM277" s="241">
        <v>-341.90999999999997</v>
      </c>
      <c r="AN277" s="242">
        <v>-141.90999999999997</v>
      </c>
      <c r="AO277" s="240">
        <v>200</v>
      </c>
      <c r="AP277" s="241">
        <v>-161.16</v>
      </c>
      <c r="AQ277" s="242">
        <v>38.840000000000003</v>
      </c>
      <c r="AR277" s="240">
        <v>200</v>
      </c>
      <c r="AS277" s="241">
        <v>-210.12</v>
      </c>
      <c r="AT277" s="242">
        <v>157.55000000000001</v>
      </c>
    </row>
    <row r="278" spans="4:46" outlineLevel="2">
      <c r="D278" s="67" t="s">
        <v>16</v>
      </c>
      <c r="E278" s="85">
        <v>800</v>
      </c>
      <c r="F278" s="84">
        <v>-1026.8</v>
      </c>
      <c r="G278" s="241">
        <v>-226.79999999999995</v>
      </c>
      <c r="H278" s="69">
        <v>3.0930375327513152E-2</v>
      </c>
      <c r="J278" s="67" t="s">
        <v>16</v>
      </c>
      <c r="K278" s="240">
        <v>0</v>
      </c>
      <c r="L278" s="241">
        <v>-40</v>
      </c>
      <c r="M278" s="242">
        <v>-40</v>
      </c>
      <c r="N278" s="240">
        <v>100</v>
      </c>
      <c r="O278" s="241">
        <v>-220.45</v>
      </c>
      <c r="P278" s="242">
        <v>-120.44999999999999</v>
      </c>
      <c r="Q278" s="240">
        <v>50</v>
      </c>
      <c r="R278" s="241">
        <v>-52</v>
      </c>
      <c r="S278" s="242">
        <v>-2</v>
      </c>
      <c r="T278" s="240">
        <v>0</v>
      </c>
      <c r="U278" s="241">
        <v>-53</v>
      </c>
      <c r="V278" s="242">
        <v>-53</v>
      </c>
      <c r="W278" s="240">
        <v>0</v>
      </c>
      <c r="X278" s="241">
        <v>-227.56</v>
      </c>
      <c r="Y278" s="242">
        <v>-227.56</v>
      </c>
      <c r="Z278" s="241">
        <v>50</v>
      </c>
      <c r="AA278" s="241">
        <v>-91.28</v>
      </c>
      <c r="AB278" s="241">
        <v>-41.28</v>
      </c>
      <c r="AC278" s="240">
        <v>200</v>
      </c>
      <c r="AD278" s="241">
        <v>-273.58000000000004</v>
      </c>
      <c r="AE278" s="242">
        <v>-73.580000000000041</v>
      </c>
      <c r="AF278" s="240">
        <v>0</v>
      </c>
      <c r="AG278" s="241">
        <v>0</v>
      </c>
      <c r="AH278" s="242">
        <v>0</v>
      </c>
      <c r="AI278" s="241">
        <v>150</v>
      </c>
      <c r="AJ278" s="241">
        <v>-68.930000000000007</v>
      </c>
      <c r="AK278" s="241">
        <v>81.069999999999993</v>
      </c>
      <c r="AL278" s="240">
        <v>0</v>
      </c>
      <c r="AM278" s="241">
        <v>0</v>
      </c>
      <c r="AN278" s="242">
        <v>0</v>
      </c>
      <c r="AO278" s="240">
        <v>100</v>
      </c>
      <c r="AP278" s="241">
        <v>0</v>
      </c>
      <c r="AQ278" s="242">
        <v>100</v>
      </c>
      <c r="AR278" s="240">
        <v>150</v>
      </c>
      <c r="AS278" s="241">
        <v>-105</v>
      </c>
      <c r="AT278" s="242">
        <v>150</v>
      </c>
    </row>
    <row r="279" spans="4:46" outlineLevel="2">
      <c r="D279" s="67" t="s">
        <v>17</v>
      </c>
      <c r="E279" s="85">
        <v>1600</v>
      </c>
      <c r="F279" s="84">
        <v>-844.37</v>
      </c>
      <c r="G279" s="241">
        <v>755.63</v>
      </c>
      <c r="H279" s="69">
        <v>2.5435022414581499E-2</v>
      </c>
      <c r="J279" s="67" t="s">
        <v>17</v>
      </c>
      <c r="K279" s="240">
        <v>100</v>
      </c>
      <c r="L279" s="241">
        <v>-55</v>
      </c>
      <c r="M279" s="242">
        <v>45</v>
      </c>
      <c r="N279" s="240">
        <v>100</v>
      </c>
      <c r="O279" s="241">
        <v>0</v>
      </c>
      <c r="P279" s="242">
        <v>100</v>
      </c>
      <c r="Q279" s="240">
        <v>100</v>
      </c>
      <c r="R279" s="241">
        <v>0</v>
      </c>
      <c r="S279" s="242">
        <v>100</v>
      </c>
      <c r="T279" s="240">
        <v>100</v>
      </c>
      <c r="U279" s="241">
        <v>-113.05</v>
      </c>
      <c r="V279" s="242">
        <v>-13.049999999999997</v>
      </c>
      <c r="W279" s="240">
        <v>150</v>
      </c>
      <c r="X279" s="241">
        <v>0</v>
      </c>
      <c r="Y279" s="242">
        <v>150</v>
      </c>
      <c r="Z279" s="241">
        <v>150</v>
      </c>
      <c r="AA279" s="241">
        <v>-99.2</v>
      </c>
      <c r="AB279" s="241">
        <v>50.8</v>
      </c>
      <c r="AC279" s="240">
        <v>150</v>
      </c>
      <c r="AD279" s="241">
        <v>-87.77</v>
      </c>
      <c r="AE279" s="242">
        <v>62.230000000000004</v>
      </c>
      <c r="AF279" s="240">
        <v>150</v>
      </c>
      <c r="AG279" s="241">
        <v>-283.92</v>
      </c>
      <c r="AH279" s="242">
        <v>-133.92000000000002</v>
      </c>
      <c r="AI279" s="241">
        <v>150</v>
      </c>
      <c r="AJ279" s="241">
        <v>-205.42999999999998</v>
      </c>
      <c r="AK279" s="241">
        <v>-55.429999999999978</v>
      </c>
      <c r="AL279" s="240">
        <v>150</v>
      </c>
      <c r="AM279" s="241">
        <v>0</v>
      </c>
      <c r="AN279" s="242">
        <v>150</v>
      </c>
      <c r="AO279" s="240">
        <v>150</v>
      </c>
      <c r="AP279" s="241">
        <v>0</v>
      </c>
      <c r="AQ279" s="242">
        <v>150</v>
      </c>
      <c r="AR279" s="240">
        <v>150</v>
      </c>
      <c r="AS279" s="241">
        <v>0</v>
      </c>
      <c r="AT279" s="242">
        <v>150</v>
      </c>
    </row>
    <row r="280" spans="4:46" outlineLevel="2">
      <c r="D280" s="67" t="s">
        <v>18</v>
      </c>
      <c r="E280" s="85">
        <v>240</v>
      </c>
      <c r="F280" s="84">
        <v>0</v>
      </c>
      <c r="G280" s="241">
        <v>240</v>
      </c>
      <c r="H280" s="69">
        <v>0</v>
      </c>
      <c r="J280" s="67" t="s">
        <v>18</v>
      </c>
      <c r="K280" s="240">
        <v>60</v>
      </c>
      <c r="L280" s="241">
        <v>0</v>
      </c>
      <c r="M280" s="242">
        <v>60</v>
      </c>
      <c r="N280" s="240">
        <v>0</v>
      </c>
      <c r="O280" s="241">
        <v>0</v>
      </c>
      <c r="P280" s="242">
        <v>0</v>
      </c>
      <c r="Q280" s="240">
        <v>0</v>
      </c>
      <c r="R280" s="241">
        <v>0</v>
      </c>
      <c r="S280" s="242">
        <v>0</v>
      </c>
      <c r="T280" s="240">
        <v>0</v>
      </c>
      <c r="U280" s="241">
        <v>0</v>
      </c>
      <c r="V280" s="242">
        <v>0</v>
      </c>
      <c r="W280" s="240">
        <v>30</v>
      </c>
      <c r="X280" s="241">
        <v>0</v>
      </c>
      <c r="Y280" s="242">
        <v>30</v>
      </c>
      <c r="Z280" s="241">
        <v>30</v>
      </c>
      <c r="AA280" s="241">
        <v>0</v>
      </c>
      <c r="AB280" s="241">
        <v>30</v>
      </c>
      <c r="AC280" s="240">
        <v>0</v>
      </c>
      <c r="AD280" s="241">
        <v>0</v>
      </c>
      <c r="AE280" s="242">
        <v>0</v>
      </c>
      <c r="AF280" s="240">
        <v>0</v>
      </c>
      <c r="AG280" s="241">
        <v>0</v>
      </c>
      <c r="AH280" s="242">
        <v>0</v>
      </c>
      <c r="AI280" s="241">
        <v>30</v>
      </c>
      <c r="AJ280" s="241">
        <v>0</v>
      </c>
      <c r="AK280" s="241">
        <v>30</v>
      </c>
      <c r="AL280" s="240">
        <v>30</v>
      </c>
      <c r="AM280" s="241">
        <v>0</v>
      </c>
      <c r="AN280" s="242">
        <v>30</v>
      </c>
      <c r="AO280" s="240">
        <v>30</v>
      </c>
      <c r="AP280" s="241">
        <v>0</v>
      </c>
      <c r="AQ280" s="242">
        <v>30</v>
      </c>
      <c r="AR280" s="240">
        <v>30</v>
      </c>
      <c r="AS280" s="241">
        <v>0</v>
      </c>
      <c r="AT280" s="242">
        <v>30</v>
      </c>
    </row>
    <row r="281" spans="4:46" outlineLevel="2">
      <c r="D281" s="67" t="s">
        <v>19</v>
      </c>
      <c r="E281" s="85">
        <v>11955</v>
      </c>
      <c r="F281" s="84">
        <v>-8088.87</v>
      </c>
      <c r="G281" s="241">
        <v>3866.13</v>
      </c>
      <c r="H281" s="69">
        <v>0.24366165278093233</v>
      </c>
      <c r="J281" s="67" t="s">
        <v>19</v>
      </c>
      <c r="K281" s="240">
        <v>846</v>
      </c>
      <c r="L281" s="241">
        <v>-541.85</v>
      </c>
      <c r="M281" s="242">
        <v>304.14999999999998</v>
      </c>
      <c r="N281" s="240">
        <v>1042</v>
      </c>
      <c r="O281" s="241">
        <v>-1044.5</v>
      </c>
      <c r="P281" s="242">
        <v>-2.5</v>
      </c>
      <c r="Q281" s="240">
        <v>1043</v>
      </c>
      <c r="R281" s="241">
        <v>-1042.98</v>
      </c>
      <c r="S281" s="242">
        <v>1.999999999998181E-2</v>
      </c>
      <c r="T281" s="240">
        <v>1043</v>
      </c>
      <c r="U281" s="241">
        <v>-852</v>
      </c>
      <c r="V281" s="242">
        <v>191</v>
      </c>
      <c r="W281" s="240">
        <v>848</v>
      </c>
      <c r="X281" s="241">
        <v>-848</v>
      </c>
      <c r="Y281" s="242">
        <v>0</v>
      </c>
      <c r="Z281" s="241">
        <v>857</v>
      </c>
      <c r="AA281" s="241">
        <v>-857.54</v>
      </c>
      <c r="AB281" s="241">
        <v>-0.53999999999996362</v>
      </c>
      <c r="AC281" s="240">
        <v>846</v>
      </c>
      <c r="AD281" s="241">
        <v>-822</v>
      </c>
      <c r="AE281" s="242">
        <v>24</v>
      </c>
      <c r="AF281" s="240">
        <v>846</v>
      </c>
      <c r="AG281" s="241">
        <v>-380</v>
      </c>
      <c r="AH281" s="242">
        <v>466</v>
      </c>
      <c r="AI281" s="241">
        <v>546</v>
      </c>
      <c r="AJ281" s="241">
        <v>-500</v>
      </c>
      <c r="AK281" s="241">
        <v>46</v>
      </c>
      <c r="AL281" s="240">
        <v>1746</v>
      </c>
      <c r="AM281" s="241">
        <v>-200</v>
      </c>
      <c r="AN281" s="242">
        <v>1546</v>
      </c>
      <c r="AO281" s="240">
        <v>546</v>
      </c>
      <c r="AP281" s="241">
        <v>-500</v>
      </c>
      <c r="AQ281" s="242">
        <v>46</v>
      </c>
      <c r="AR281" s="240">
        <v>1746</v>
      </c>
      <c r="AS281" s="241">
        <v>-500</v>
      </c>
      <c r="AT281" s="242">
        <v>1246</v>
      </c>
    </row>
    <row r="282" spans="4:46" outlineLevel="2">
      <c r="D282" s="67" t="s">
        <v>20</v>
      </c>
      <c r="E282" s="85">
        <v>940</v>
      </c>
      <c r="F282" s="84">
        <v>-2452.7200000000003</v>
      </c>
      <c r="G282" s="241">
        <v>-1512.7200000000003</v>
      </c>
      <c r="H282" s="69">
        <v>7.3883473094368976E-2</v>
      </c>
      <c r="J282" s="67" t="s">
        <v>20</v>
      </c>
      <c r="K282" s="240">
        <v>100</v>
      </c>
      <c r="L282" s="241">
        <v>-18.399999999999999</v>
      </c>
      <c r="M282" s="242">
        <v>81.599999999999994</v>
      </c>
      <c r="N282" s="240">
        <v>100</v>
      </c>
      <c r="O282" s="241">
        <v>-361.39</v>
      </c>
      <c r="P282" s="242">
        <v>-261.39</v>
      </c>
      <c r="Q282" s="240">
        <v>100</v>
      </c>
      <c r="R282" s="241">
        <v>-155.47</v>
      </c>
      <c r="S282" s="242">
        <v>-55.47</v>
      </c>
      <c r="T282" s="240">
        <v>100</v>
      </c>
      <c r="U282" s="241">
        <v>-239.03</v>
      </c>
      <c r="V282" s="242">
        <v>-139.03</v>
      </c>
      <c r="W282" s="240">
        <v>150</v>
      </c>
      <c r="X282" s="241">
        <v>-133.5</v>
      </c>
      <c r="Y282" s="242">
        <v>16.5</v>
      </c>
      <c r="Z282" s="241">
        <v>50</v>
      </c>
      <c r="AA282" s="241">
        <v>-247.63</v>
      </c>
      <c r="AB282" s="241">
        <v>-197.63</v>
      </c>
      <c r="AC282" s="240">
        <v>70</v>
      </c>
      <c r="AD282" s="241">
        <v>-84.960000000000008</v>
      </c>
      <c r="AE282" s="242">
        <v>-14.960000000000008</v>
      </c>
      <c r="AF282" s="240">
        <v>70</v>
      </c>
      <c r="AG282" s="241">
        <v>-50</v>
      </c>
      <c r="AH282" s="242">
        <v>20</v>
      </c>
      <c r="AI282" s="241">
        <v>50</v>
      </c>
      <c r="AJ282" s="241">
        <v>-215.56</v>
      </c>
      <c r="AK282" s="241">
        <v>-165.56</v>
      </c>
      <c r="AL282" s="240">
        <v>50</v>
      </c>
      <c r="AM282" s="241">
        <v>-98.43</v>
      </c>
      <c r="AN282" s="242">
        <v>-48.430000000000007</v>
      </c>
      <c r="AO282" s="240">
        <v>50</v>
      </c>
      <c r="AP282" s="241">
        <v>-723.34999999999991</v>
      </c>
      <c r="AQ282" s="242">
        <v>-673.34999999999991</v>
      </c>
      <c r="AR282" s="240">
        <v>50</v>
      </c>
      <c r="AS282" s="241">
        <v>-272.26</v>
      </c>
      <c r="AT282" s="242">
        <v>-75</v>
      </c>
    </row>
    <row r="283" spans="4:46" outlineLevel="2">
      <c r="D283" s="67" t="s">
        <v>21</v>
      </c>
      <c r="E283" s="85">
        <v>1480</v>
      </c>
      <c r="F283" s="84">
        <v>-481.36</v>
      </c>
      <c r="G283" s="241">
        <v>998.64</v>
      </c>
      <c r="H283" s="69">
        <v>1.4500044280922995E-2</v>
      </c>
      <c r="J283" s="67" t="s">
        <v>21</v>
      </c>
      <c r="K283" s="240">
        <v>130</v>
      </c>
      <c r="L283" s="241">
        <v>-25</v>
      </c>
      <c r="M283" s="242">
        <v>105</v>
      </c>
      <c r="N283" s="240">
        <v>130</v>
      </c>
      <c r="O283" s="241">
        <v>-25</v>
      </c>
      <c r="P283" s="242">
        <v>105</v>
      </c>
      <c r="Q283" s="240">
        <v>130</v>
      </c>
      <c r="R283" s="241">
        <v>-231.36</v>
      </c>
      <c r="S283" s="242">
        <v>-101.36000000000001</v>
      </c>
      <c r="T283" s="240">
        <v>130</v>
      </c>
      <c r="U283" s="241">
        <v>0</v>
      </c>
      <c r="V283" s="242">
        <v>130</v>
      </c>
      <c r="W283" s="240">
        <v>100</v>
      </c>
      <c r="X283" s="241">
        <v>-40</v>
      </c>
      <c r="Y283" s="242">
        <v>60</v>
      </c>
      <c r="Z283" s="241">
        <v>100</v>
      </c>
      <c r="AA283" s="241">
        <v>-40</v>
      </c>
      <c r="AB283" s="241">
        <v>60</v>
      </c>
      <c r="AC283" s="240">
        <v>200</v>
      </c>
      <c r="AD283" s="241">
        <v>-120</v>
      </c>
      <c r="AE283" s="242">
        <v>80</v>
      </c>
      <c r="AF283" s="240">
        <v>160</v>
      </c>
      <c r="AG283" s="241">
        <v>0</v>
      </c>
      <c r="AH283" s="242">
        <v>160</v>
      </c>
      <c r="AI283" s="241">
        <v>100</v>
      </c>
      <c r="AJ283" s="241">
        <v>0</v>
      </c>
      <c r="AK283" s="241">
        <v>100</v>
      </c>
      <c r="AL283" s="240">
        <v>100</v>
      </c>
      <c r="AM283" s="241">
        <v>0</v>
      </c>
      <c r="AN283" s="242">
        <v>100</v>
      </c>
      <c r="AO283" s="240">
        <v>100</v>
      </c>
      <c r="AP283" s="241">
        <v>0</v>
      </c>
      <c r="AQ283" s="242">
        <v>100</v>
      </c>
      <c r="AR283" s="240">
        <v>100</v>
      </c>
      <c r="AS283" s="241">
        <v>0</v>
      </c>
      <c r="AT283" s="242">
        <v>100</v>
      </c>
    </row>
    <row r="284" spans="4:46" outlineLevel="2">
      <c r="D284" s="67" t="s">
        <v>22</v>
      </c>
      <c r="E284" s="85">
        <v>8900</v>
      </c>
      <c r="F284" s="84">
        <v>-10040.33</v>
      </c>
      <c r="G284" s="241">
        <v>-1140.33</v>
      </c>
      <c r="H284" s="69">
        <v>0.30244563236471578</v>
      </c>
      <c r="J284" s="67" t="s">
        <v>22</v>
      </c>
      <c r="K284" s="240">
        <v>760</v>
      </c>
      <c r="L284" s="241">
        <v>-760</v>
      </c>
      <c r="M284" s="242">
        <v>0</v>
      </c>
      <c r="N284" s="240">
        <v>760</v>
      </c>
      <c r="O284" s="241">
        <v>-760</v>
      </c>
      <c r="P284" s="242">
        <v>0</v>
      </c>
      <c r="Q284" s="240">
        <v>760</v>
      </c>
      <c r="R284" s="241">
        <v>-805</v>
      </c>
      <c r="S284" s="242">
        <v>-45</v>
      </c>
      <c r="T284" s="240">
        <v>760</v>
      </c>
      <c r="U284" s="241">
        <v>-785</v>
      </c>
      <c r="V284" s="242">
        <v>-25</v>
      </c>
      <c r="W284" s="240">
        <v>500</v>
      </c>
      <c r="X284" s="241">
        <v>-760</v>
      </c>
      <c r="Y284" s="242">
        <v>-260</v>
      </c>
      <c r="Z284" s="241">
        <v>785</v>
      </c>
      <c r="AA284" s="241">
        <v>-785</v>
      </c>
      <c r="AB284" s="241">
        <v>0</v>
      </c>
      <c r="AC284" s="240">
        <v>785</v>
      </c>
      <c r="AD284" s="241">
        <v>-780</v>
      </c>
      <c r="AE284" s="242">
        <v>5</v>
      </c>
      <c r="AF284" s="240">
        <v>785</v>
      </c>
      <c r="AG284" s="241">
        <v>-1465.33</v>
      </c>
      <c r="AH284" s="242">
        <v>-680.32999999999993</v>
      </c>
      <c r="AI284" s="241">
        <v>785</v>
      </c>
      <c r="AJ284" s="241">
        <v>-785</v>
      </c>
      <c r="AK284" s="241">
        <v>0</v>
      </c>
      <c r="AL284" s="240">
        <v>730</v>
      </c>
      <c r="AM284" s="241">
        <v>-785</v>
      </c>
      <c r="AN284" s="242">
        <v>-55</v>
      </c>
      <c r="AO284" s="240">
        <v>730</v>
      </c>
      <c r="AP284" s="241">
        <v>-785</v>
      </c>
      <c r="AQ284" s="242">
        <v>-55</v>
      </c>
      <c r="AR284" s="240">
        <v>760</v>
      </c>
      <c r="AS284" s="241">
        <v>-785</v>
      </c>
      <c r="AT284" s="242">
        <v>-25</v>
      </c>
    </row>
    <row r="285" spans="4:46" outlineLevel="2">
      <c r="D285" s="67" t="s">
        <v>23</v>
      </c>
      <c r="E285" s="85">
        <v>2386</v>
      </c>
      <c r="F285" s="84">
        <v>-345.32</v>
      </c>
      <c r="G285" s="241">
        <v>2040.68</v>
      </c>
      <c r="H285" s="69">
        <v>1.0402100903873045E-2</v>
      </c>
      <c r="J285" s="67" t="s">
        <v>23</v>
      </c>
      <c r="K285" s="240">
        <v>100</v>
      </c>
      <c r="L285" s="241">
        <v>0</v>
      </c>
      <c r="M285" s="242">
        <v>100</v>
      </c>
      <c r="N285" s="240">
        <v>70</v>
      </c>
      <c r="O285" s="241">
        <v>0</v>
      </c>
      <c r="P285" s="242">
        <v>70</v>
      </c>
      <c r="Q285" s="240">
        <v>70</v>
      </c>
      <c r="R285" s="241">
        <v>-129</v>
      </c>
      <c r="S285" s="242">
        <v>-59</v>
      </c>
      <c r="T285" s="240">
        <v>0</v>
      </c>
      <c r="U285" s="241">
        <v>0</v>
      </c>
      <c r="V285" s="242">
        <v>0</v>
      </c>
      <c r="W285" s="240">
        <v>191</v>
      </c>
      <c r="X285" s="241">
        <v>-58</v>
      </c>
      <c r="Y285" s="242">
        <v>133</v>
      </c>
      <c r="Z285" s="241">
        <v>0</v>
      </c>
      <c r="AA285" s="241">
        <v>0</v>
      </c>
      <c r="AB285" s="241">
        <v>0</v>
      </c>
      <c r="AC285" s="240">
        <v>0</v>
      </c>
      <c r="AD285" s="241">
        <v>0</v>
      </c>
      <c r="AE285" s="242">
        <v>0</v>
      </c>
      <c r="AF285" s="240">
        <v>55</v>
      </c>
      <c r="AG285" s="241">
        <v>-158.32</v>
      </c>
      <c r="AH285" s="242">
        <v>-103.32</v>
      </c>
      <c r="AI285" s="241">
        <v>0</v>
      </c>
      <c r="AJ285" s="241">
        <v>0</v>
      </c>
      <c r="AK285" s="241">
        <v>0</v>
      </c>
      <c r="AL285" s="240">
        <v>0</v>
      </c>
      <c r="AM285" s="241">
        <v>0</v>
      </c>
      <c r="AN285" s="242">
        <v>0</v>
      </c>
      <c r="AO285" s="240">
        <v>0</v>
      </c>
      <c r="AP285" s="241">
        <v>0</v>
      </c>
      <c r="AQ285" s="242">
        <v>0</v>
      </c>
      <c r="AR285" s="240">
        <v>1900</v>
      </c>
      <c r="AS285" s="241">
        <v>-57.05</v>
      </c>
      <c r="AT285" s="242">
        <v>1900</v>
      </c>
    </row>
    <row r="286" spans="4:46" ht="13.5" outlineLevel="2" thickBot="1">
      <c r="D286" s="88" t="s">
        <v>25</v>
      </c>
      <c r="E286" s="85">
        <v>120</v>
      </c>
      <c r="F286" s="84">
        <v>-267.82</v>
      </c>
      <c r="G286" s="241">
        <v>-147.82</v>
      </c>
      <c r="H286" s="71">
        <v>8.0675624466444995E-3</v>
      </c>
      <c r="J286" s="30" t="s">
        <v>25</v>
      </c>
      <c r="K286" s="240">
        <v>40</v>
      </c>
      <c r="L286" s="241">
        <v>0</v>
      </c>
      <c r="M286" s="247">
        <v>40</v>
      </c>
      <c r="N286" s="245">
        <v>40</v>
      </c>
      <c r="O286" s="246">
        <v>-70.679999999999993</v>
      </c>
      <c r="P286" s="247">
        <v>-30.679999999999993</v>
      </c>
      <c r="Q286" s="245">
        <v>40</v>
      </c>
      <c r="R286" s="246">
        <v>0</v>
      </c>
      <c r="S286" s="247">
        <v>40</v>
      </c>
      <c r="T286" s="245">
        <v>0</v>
      </c>
      <c r="U286" s="241">
        <v>-197.14</v>
      </c>
      <c r="V286" s="247"/>
      <c r="W286" s="245"/>
      <c r="X286" s="246"/>
      <c r="Y286" s="242"/>
      <c r="Z286" s="241"/>
      <c r="AA286" s="241"/>
      <c r="AB286" s="241"/>
      <c r="AC286" s="245"/>
      <c r="AD286" s="246"/>
      <c r="AE286" s="242"/>
      <c r="AF286" s="245"/>
      <c r="AG286" s="241"/>
      <c r="AH286" s="242"/>
      <c r="AI286" s="241"/>
      <c r="AJ286" s="241"/>
      <c r="AK286" s="241"/>
      <c r="AL286" s="245"/>
      <c r="AM286" s="246"/>
      <c r="AN286" s="242"/>
      <c r="AO286" s="245">
        <v>0</v>
      </c>
      <c r="AP286" s="246">
        <v>0</v>
      </c>
      <c r="AQ286" s="242"/>
      <c r="AR286" s="245">
        <v>0</v>
      </c>
      <c r="AS286" s="246">
        <v>0</v>
      </c>
      <c r="AT286" s="242"/>
    </row>
    <row r="287" spans="4:46" ht="13.5" outlineLevel="2" thickBot="1">
      <c r="D287" s="72" t="s">
        <v>29</v>
      </c>
      <c r="E287" s="271">
        <f>SUM(E270:E284)</f>
        <v>36146.979999999996</v>
      </c>
      <c r="F287" s="272">
        <f>SUM(F270:F284)</f>
        <v>-33197.14</v>
      </c>
      <c r="G287" s="273">
        <f>SUM(G270:G284)</f>
        <v>2949.8399999999997</v>
      </c>
      <c r="J287" s="75" t="s">
        <v>29</v>
      </c>
      <c r="K287" s="264">
        <f>SUM(K270:K286)</f>
        <v>3039</v>
      </c>
      <c r="L287" s="265">
        <f>SUM(L270:L286)</f>
        <v>-2221.12</v>
      </c>
      <c r="M287" s="266">
        <f>SUM(M270:M286)</f>
        <v>817.88</v>
      </c>
      <c r="N287" s="87">
        <f t="shared" ref="N287:AT287" si="49">SUM(N270:N286)</f>
        <v>3195</v>
      </c>
      <c r="O287" s="87">
        <f t="shared" si="49"/>
        <v>-3217.88</v>
      </c>
      <c r="P287" s="90">
        <f t="shared" si="49"/>
        <v>-22.880000000000038</v>
      </c>
      <c r="Q287" s="89">
        <f t="shared" si="49"/>
        <v>3096</v>
      </c>
      <c r="R287" s="87">
        <f t="shared" si="49"/>
        <v>-3580.2799999999997</v>
      </c>
      <c r="S287" s="90">
        <f t="shared" si="49"/>
        <v>-484.28</v>
      </c>
      <c r="T287" s="264">
        <f t="shared" si="49"/>
        <v>2936</v>
      </c>
      <c r="U287" s="265">
        <f t="shared" si="49"/>
        <v>-2748.6299999999997</v>
      </c>
      <c r="V287" s="266">
        <f t="shared" si="49"/>
        <v>384.51</v>
      </c>
      <c r="W287" s="264">
        <f t="shared" si="49"/>
        <v>2817</v>
      </c>
      <c r="X287" s="265">
        <f t="shared" si="49"/>
        <v>-2779.52</v>
      </c>
      <c r="Y287" s="266">
        <f t="shared" si="49"/>
        <v>37.479999999999961</v>
      </c>
      <c r="Z287" s="264">
        <f t="shared" si="49"/>
        <v>2870</v>
      </c>
      <c r="AA287" s="265">
        <f t="shared" si="49"/>
        <v>-3178.37</v>
      </c>
      <c r="AB287" s="266">
        <f t="shared" si="49"/>
        <v>-308.36999999999995</v>
      </c>
      <c r="AC287" s="264">
        <f t="shared" si="49"/>
        <v>2991.99</v>
      </c>
      <c r="AD287" s="265">
        <f t="shared" si="49"/>
        <v>-2923.29</v>
      </c>
      <c r="AE287" s="266">
        <f t="shared" si="49"/>
        <v>68.699999999999932</v>
      </c>
      <c r="AF287" s="264">
        <f t="shared" si="49"/>
        <v>2881.99</v>
      </c>
      <c r="AG287" s="265">
        <f t="shared" si="49"/>
        <v>-3223.7200000000003</v>
      </c>
      <c r="AH287" s="266">
        <f t="shared" si="49"/>
        <v>-341.72999999999996</v>
      </c>
      <c r="AI287" s="264">
        <f t="shared" si="49"/>
        <v>2749</v>
      </c>
      <c r="AJ287" s="265">
        <f t="shared" si="49"/>
        <v>-2634.62</v>
      </c>
      <c r="AK287" s="266">
        <f t="shared" si="49"/>
        <v>114.38000000000002</v>
      </c>
      <c r="AL287" s="264">
        <f t="shared" si="49"/>
        <v>3714</v>
      </c>
      <c r="AM287" s="265">
        <f t="shared" si="49"/>
        <v>-2351.6800000000003</v>
      </c>
      <c r="AN287" s="266">
        <f t="shared" si="49"/>
        <v>1362.32</v>
      </c>
      <c r="AO287" s="264">
        <f t="shared" si="49"/>
        <v>2589</v>
      </c>
      <c r="AP287" s="265">
        <f t="shared" si="49"/>
        <v>-3301.8199999999997</v>
      </c>
      <c r="AQ287" s="266">
        <f t="shared" si="49"/>
        <v>-712.81999999999994</v>
      </c>
      <c r="AR287" s="264">
        <f t="shared" si="49"/>
        <v>5774</v>
      </c>
      <c r="AS287" s="265">
        <f t="shared" si="49"/>
        <v>-3367.58</v>
      </c>
      <c r="AT287" s="266">
        <f t="shared" si="49"/>
        <v>4124.6499999999996</v>
      </c>
    </row>
    <row r="288" spans="4:46" ht="13.5" customHeight="1" outlineLevel="2" thickBot="1">
      <c r="E288" s="705">
        <v>2014</v>
      </c>
      <c r="F288" s="706"/>
      <c r="G288" s="707"/>
      <c r="J288" s="58">
        <v>2015</v>
      </c>
      <c r="K288" s="710">
        <v>41653</v>
      </c>
      <c r="L288" s="711"/>
      <c r="M288" s="712"/>
      <c r="N288" s="710">
        <v>41684</v>
      </c>
      <c r="O288" s="711"/>
      <c r="P288" s="712"/>
      <c r="Q288" s="710">
        <v>41711</v>
      </c>
      <c r="R288" s="711"/>
      <c r="S288" s="712"/>
      <c r="T288" s="710">
        <v>41730</v>
      </c>
      <c r="U288" s="711"/>
      <c r="V288" s="712"/>
      <c r="W288" s="710">
        <v>41760</v>
      </c>
      <c r="X288" s="711"/>
      <c r="Y288" s="712"/>
      <c r="Z288" s="710">
        <v>41791</v>
      </c>
      <c r="AA288" s="711"/>
      <c r="AB288" s="712"/>
      <c r="AC288" s="710">
        <v>41821</v>
      </c>
      <c r="AD288" s="711"/>
      <c r="AE288" s="712"/>
      <c r="AF288" s="710">
        <v>41864</v>
      </c>
      <c r="AG288" s="711"/>
      <c r="AH288" s="712"/>
      <c r="AI288" s="710">
        <v>41883</v>
      </c>
      <c r="AJ288" s="711"/>
      <c r="AK288" s="712"/>
      <c r="AL288" s="710">
        <v>41913</v>
      </c>
      <c r="AM288" s="711"/>
      <c r="AN288" s="712"/>
      <c r="AO288" s="710">
        <v>41944</v>
      </c>
      <c r="AP288" s="711"/>
      <c r="AQ288" s="712"/>
      <c r="AR288" s="710">
        <v>41974</v>
      </c>
      <c r="AS288" s="711"/>
      <c r="AT288" s="712"/>
    </row>
    <row r="289" spans="4:46" ht="13.5" customHeight="1" outlineLevel="2" thickBot="1">
      <c r="D289" s="59" t="s">
        <v>7</v>
      </c>
      <c r="E289" s="258" t="s">
        <v>60</v>
      </c>
      <c r="F289" s="259" t="s">
        <v>61</v>
      </c>
      <c r="G289" s="260" t="s">
        <v>62</v>
      </c>
      <c r="H289" s="63" t="s">
        <v>73</v>
      </c>
      <c r="J289" s="59" t="s">
        <v>7</v>
      </c>
      <c r="K289" s="261" t="s">
        <v>60</v>
      </c>
      <c r="L289" s="262" t="s">
        <v>61</v>
      </c>
      <c r="M289" s="263" t="s">
        <v>62</v>
      </c>
      <c r="N289" s="261" t="s">
        <v>60</v>
      </c>
      <c r="O289" s="262" t="s">
        <v>61</v>
      </c>
      <c r="P289" s="262" t="s">
        <v>62</v>
      </c>
      <c r="Q289" s="261" t="s">
        <v>60</v>
      </c>
      <c r="R289" s="262" t="s">
        <v>61</v>
      </c>
      <c r="S289" s="263" t="s">
        <v>62</v>
      </c>
      <c r="T289" s="261" t="s">
        <v>60</v>
      </c>
      <c r="U289" s="262" t="s">
        <v>61</v>
      </c>
      <c r="V289" s="263" t="s">
        <v>62</v>
      </c>
      <c r="W289" s="261" t="s">
        <v>60</v>
      </c>
      <c r="X289" s="262" t="s">
        <v>61</v>
      </c>
      <c r="Y289" s="263" t="s">
        <v>62</v>
      </c>
      <c r="Z289" s="261" t="s">
        <v>60</v>
      </c>
      <c r="AA289" s="262" t="s">
        <v>61</v>
      </c>
      <c r="AB289" s="263" t="s">
        <v>62</v>
      </c>
      <c r="AC289" s="261" t="s">
        <v>60</v>
      </c>
      <c r="AD289" s="262" t="s">
        <v>61</v>
      </c>
      <c r="AE289" s="263" t="s">
        <v>62</v>
      </c>
      <c r="AF289" s="261" t="s">
        <v>60</v>
      </c>
      <c r="AG289" s="262" t="s">
        <v>61</v>
      </c>
      <c r="AH289" s="263" t="s">
        <v>62</v>
      </c>
      <c r="AI289" s="261" t="s">
        <v>60</v>
      </c>
      <c r="AJ289" s="262" t="s">
        <v>61</v>
      </c>
      <c r="AK289" s="263" t="s">
        <v>62</v>
      </c>
      <c r="AL289" s="261" t="s">
        <v>60</v>
      </c>
      <c r="AM289" s="262" t="s">
        <v>61</v>
      </c>
      <c r="AN289" s="263" t="s">
        <v>62</v>
      </c>
      <c r="AO289" s="261" t="s">
        <v>60</v>
      </c>
      <c r="AP289" s="262" t="s">
        <v>61</v>
      </c>
      <c r="AQ289" s="263" t="s">
        <v>62</v>
      </c>
      <c r="AR289" s="261" t="s">
        <v>60</v>
      </c>
      <c r="AS289" s="262" t="s">
        <v>61</v>
      </c>
      <c r="AT289" s="263" t="s">
        <v>62</v>
      </c>
    </row>
    <row r="290" spans="4:46" ht="12.75" customHeight="1" outlineLevel="2">
      <c r="D290" s="64" t="s">
        <v>8</v>
      </c>
      <c r="E290" s="82">
        <v>940</v>
      </c>
      <c r="F290" s="80">
        <v>-851.91000000000008</v>
      </c>
      <c r="G290" s="237">
        <v>88.089999999999918</v>
      </c>
      <c r="H290" s="66">
        <f>F290/$F$307</f>
        <v>2.4418042878858341E-2</v>
      </c>
      <c r="J290" s="64" t="s">
        <v>8</v>
      </c>
      <c r="K290" s="235">
        <v>75</v>
      </c>
      <c r="L290" s="236">
        <v>-73.989999999999995</v>
      </c>
      <c r="M290" s="237">
        <v>1.0100000000000051</v>
      </c>
      <c r="N290" s="235">
        <v>75</v>
      </c>
      <c r="O290" s="236">
        <v>-73</v>
      </c>
      <c r="P290" s="237">
        <v>2</v>
      </c>
      <c r="Q290" s="235">
        <v>75</v>
      </c>
      <c r="R290" s="236">
        <v>-73.989999999999995</v>
      </c>
      <c r="S290" s="237">
        <v>1.0100000000000051</v>
      </c>
      <c r="T290" s="235">
        <v>75</v>
      </c>
      <c r="U290" s="236">
        <v>-73.989999999999995</v>
      </c>
      <c r="V290" s="237">
        <v>1.0100000000000051</v>
      </c>
      <c r="W290" s="235">
        <v>75</v>
      </c>
      <c r="X290" s="236">
        <v>-73.989999999999995</v>
      </c>
      <c r="Y290" s="237">
        <v>1.0100000000000051</v>
      </c>
      <c r="Z290" s="236">
        <v>75</v>
      </c>
      <c r="AA290" s="236">
        <v>-73.989999999999995</v>
      </c>
      <c r="AB290" s="236">
        <v>1.0100000000000051</v>
      </c>
      <c r="AC290" s="235">
        <v>75</v>
      </c>
      <c r="AD290" s="236">
        <v>-73.989999999999995</v>
      </c>
      <c r="AE290" s="237">
        <v>1.0100000000000051</v>
      </c>
      <c r="AF290" s="235">
        <v>75</v>
      </c>
      <c r="AG290" s="236">
        <v>-73.989999999999995</v>
      </c>
      <c r="AH290" s="237">
        <v>1.0100000000000051</v>
      </c>
      <c r="AI290" s="235">
        <v>75</v>
      </c>
      <c r="AJ290" s="236">
        <v>-73</v>
      </c>
      <c r="AK290" s="237">
        <v>2</v>
      </c>
      <c r="AL290" s="235">
        <v>95</v>
      </c>
      <c r="AM290" s="236">
        <v>-93.99</v>
      </c>
      <c r="AN290" s="237">
        <v>1.0100000000000051</v>
      </c>
      <c r="AO290" s="235">
        <v>95</v>
      </c>
      <c r="AP290" s="236">
        <v>-93.99</v>
      </c>
      <c r="AQ290" s="237">
        <v>1.0100000000000051</v>
      </c>
      <c r="AR290" s="235">
        <v>75</v>
      </c>
      <c r="AS290" s="236">
        <v>-93.99</v>
      </c>
      <c r="AT290" s="237">
        <v>75</v>
      </c>
    </row>
    <row r="291" spans="4:46" ht="12.75" customHeight="1" outlineLevel="2">
      <c r="D291" s="67" t="s">
        <v>9</v>
      </c>
      <c r="E291" s="85">
        <v>1161.2</v>
      </c>
      <c r="F291" s="84">
        <v>-927.31000000000006</v>
      </c>
      <c r="G291" s="242">
        <v>233.89</v>
      </c>
      <c r="H291" s="69">
        <f t="shared" ref="H291:H306" si="50">F291/$F$307</f>
        <v>2.657921064665766E-2</v>
      </c>
      <c r="J291" s="67" t="s">
        <v>9</v>
      </c>
      <c r="K291" s="240">
        <v>200</v>
      </c>
      <c r="L291" s="241">
        <v>-195.94</v>
      </c>
      <c r="M291" s="242">
        <v>4.0600000000000023</v>
      </c>
      <c r="N291" s="240">
        <v>200</v>
      </c>
      <c r="O291" s="241">
        <v>-192.44</v>
      </c>
      <c r="P291" s="242">
        <v>7.5600000000000023</v>
      </c>
      <c r="Q291" s="240">
        <v>200</v>
      </c>
      <c r="R291" s="241">
        <v>-189.72</v>
      </c>
      <c r="S291" s="242">
        <v>10.280000000000001</v>
      </c>
      <c r="T291" s="240">
        <v>200</v>
      </c>
      <c r="U291" s="241">
        <v>-187</v>
      </c>
      <c r="V291" s="242">
        <v>13</v>
      </c>
      <c r="W291" s="240">
        <v>180</v>
      </c>
      <c r="X291" s="241">
        <v>0</v>
      </c>
      <c r="Y291" s="242">
        <v>180</v>
      </c>
      <c r="Z291" s="241">
        <v>0</v>
      </c>
      <c r="AA291" s="241">
        <v>0</v>
      </c>
      <c r="AB291" s="241">
        <v>0</v>
      </c>
      <c r="AC291" s="240">
        <v>0</v>
      </c>
      <c r="AD291" s="241">
        <v>0</v>
      </c>
      <c r="AE291" s="242">
        <v>0</v>
      </c>
      <c r="AF291" s="240">
        <v>0</v>
      </c>
      <c r="AG291" s="241">
        <v>-44.27</v>
      </c>
      <c r="AH291" s="242">
        <v>-44.27</v>
      </c>
      <c r="AI291" s="240">
        <v>44</v>
      </c>
      <c r="AJ291" s="241">
        <v>-47.21</v>
      </c>
      <c r="AK291" s="242">
        <v>-3.2100000000000009</v>
      </c>
      <c r="AL291" s="240">
        <v>47.2</v>
      </c>
      <c r="AM291" s="241">
        <v>-23.450000000000003</v>
      </c>
      <c r="AN291" s="242">
        <v>23.75</v>
      </c>
      <c r="AO291" s="240">
        <v>45</v>
      </c>
      <c r="AP291" s="241">
        <v>-47.28</v>
      </c>
      <c r="AQ291" s="242">
        <v>-2.2800000000000011</v>
      </c>
      <c r="AR291" s="240">
        <v>45</v>
      </c>
      <c r="AS291" s="241">
        <v>-47.28</v>
      </c>
      <c r="AT291" s="242">
        <v>45</v>
      </c>
    </row>
    <row r="292" spans="4:46" ht="12.75" customHeight="1" outlineLevel="2">
      <c r="D292" s="67" t="s">
        <v>10</v>
      </c>
      <c r="E292" s="85">
        <v>445</v>
      </c>
      <c r="F292" s="84">
        <v>-96.56</v>
      </c>
      <c r="G292" s="242">
        <v>348.44</v>
      </c>
      <c r="H292" s="69">
        <f t="shared" si="50"/>
        <v>2.7676705525026836E-3</v>
      </c>
      <c r="J292" s="67" t="s">
        <v>10</v>
      </c>
      <c r="K292" s="240">
        <v>20</v>
      </c>
      <c r="L292" s="241">
        <v>-14.7</v>
      </c>
      <c r="M292" s="242">
        <v>5.3000000000000007</v>
      </c>
      <c r="N292" s="240">
        <v>30</v>
      </c>
      <c r="O292" s="241">
        <v>-27.3</v>
      </c>
      <c r="P292" s="242">
        <v>2.6999999999999993</v>
      </c>
      <c r="Q292" s="240">
        <v>20</v>
      </c>
      <c r="R292" s="241">
        <v>-18.899999999999999</v>
      </c>
      <c r="S292" s="242">
        <v>1.1000000000000014</v>
      </c>
      <c r="T292" s="240">
        <v>20</v>
      </c>
      <c r="U292" s="241">
        <v>0</v>
      </c>
      <c r="V292" s="242">
        <v>20</v>
      </c>
      <c r="W292" s="240">
        <v>40</v>
      </c>
      <c r="X292" s="241">
        <v>0</v>
      </c>
      <c r="Y292" s="242">
        <v>40</v>
      </c>
      <c r="Z292" s="241">
        <v>40</v>
      </c>
      <c r="AA292" s="241">
        <v>0</v>
      </c>
      <c r="AB292" s="241">
        <v>40</v>
      </c>
      <c r="AC292" s="240">
        <v>50</v>
      </c>
      <c r="AD292" s="241">
        <v>-20.350000000000001</v>
      </c>
      <c r="AE292" s="242">
        <v>29.65</v>
      </c>
      <c r="AF292" s="240">
        <v>50</v>
      </c>
      <c r="AG292" s="241">
        <v>0</v>
      </c>
      <c r="AH292" s="242">
        <v>50</v>
      </c>
      <c r="AI292" s="240">
        <v>50</v>
      </c>
      <c r="AJ292" s="241">
        <v>0</v>
      </c>
      <c r="AK292" s="242">
        <v>50</v>
      </c>
      <c r="AL292" s="240">
        <v>50</v>
      </c>
      <c r="AM292" s="241">
        <v>-15.31</v>
      </c>
      <c r="AN292" s="242">
        <v>34.69</v>
      </c>
      <c r="AO292" s="240">
        <v>25</v>
      </c>
      <c r="AP292" s="241">
        <v>0</v>
      </c>
      <c r="AQ292" s="242">
        <v>25</v>
      </c>
      <c r="AR292" s="240">
        <v>50</v>
      </c>
      <c r="AS292" s="241">
        <v>0</v>
      </c>
      <c r="AT292" s="242">
        <v>50</v>
      </c>
    </row>
    <row r="293" spans="4:46" ht="12.75" customHeight="1" outlineLevel="2">
      <c r="D293" s="67" t="s">
        <v>11</v>
      </c>
      <c r="E293" s="85">
        <v>615</v>
      </c>
      <c r="F293" s="84">
        <v>-1332.7</v>
      </c>
      <c r="G293" s="242">
        <v>-717.7</v>
      </c>
      <c r="H293" s="69">
        <f t="shared" si="50"/>
        <v>3.819878360936544E-2</v>
      </c>
      <c r="J293" s="67" t="s">
        <v>11</v>
      </c>
      <c r="K293" s="240">
        <v>50</v>
      </c>
      <c r="L293" s="241">
        <v>0</v>
      </c>
      <c r="M293" s="242">
        <v>50</v>
      </c>
      <c r="N293" s="240">
        <v>50</v>
      </c>
      <c r="O293" s="241">
        <v>-108.99</v>
      </c>
      <c r="P293" s="242">
        <v>-58.989999999999995</v>
      </c>
      <c r="Q293" s="240">
        <v>50</v>
      </c>
      <c r="R293" s="241">
        <v>-78.199999999999989</v>
      </c>
      <c r="S293" s="242">
        <v>-28.199999999999989</v>
      </c>
      <c r="T293" s="240">
        <v>65</v>
      </c>
      <c r="U293" s="241">
        <v>-71</v>
      </c>
      <c r="V293" s="242">
        <v>-6</v>
      </c>
      <c r="W293" s="240">
        <v>50</v>
      </c>
      <c r="X293" s="241">
        <v>-146</v>
      </c>
      <c r="Y293" s="242">
        <v>-96</v>
      </c>
      <c r="Z293" s="241">
        <v>50</v>
      </c>
      <c r="AA293" s="241">
        <v>-52.69</v>
      </c>
      <c r="AB293" s="241">
        <v>-2.6899999999999977</v>
      </c>
      <c r="AC293" s="240">
        <v>50</v>
      </c>
      <c r="AD293" s="241">
        <v>-75</v>
      </c>
      <c r="AE293" s="242">
        <v>-25</v>
      </c>
      <c r="AF293" s="240">
        <v>50</v>
      </c>
      <c r="AG293" s="241">
        <v>-164.24</v>
      </c>
      <c r="AH293" s="242">
        <v>-114.24000000000001</v>
      </c>
      <c r="AI293" s="240">
        <v>50</v>
      </c>
      <c r="AJ293" s="241">
        <v>-386.82</v>
      </c>
      <c r="AK293" s="242">
        <v>-336.82</v>
      </c>
      <c r="AL293" s="240">
        <v>50</v>
      </c>
      <c r="AM293" s="241">
        <v>-195.47</v>
      </c>
      <c r="AN293" s="242">
        <v>-145.47</v>
      </c>
      <c r="AO293" s="240">
        <v>50</v>
      </c>
      <c r="AP293" s="241">
        <v>-54.29</v>
      </c>
      <c r="AQ293" s="242">
        <v>-4.2899999999999991</v>
      </c>
      <c r="AR293" s="240">
        <v>50</v>
      </c>
      <c r="AS293" s="241">
        <v>0</v>
      </c>
      <c r="AT293" s="242">
        <v>50</v>
      </c>
    </row>
    <row r="294" spans="4:46" ht="12.75" customHeight="1" outlineLevel="2">
      <c r="D294" s="67" t="s">
        <v>75</v>
      </c>
      <c r="E294" s="85">
        <v>456</v>
      </c>
      <c r="F294" s="84">
        <v>-418</v>
      </c>
      <c r="G294" s="242">
        <v>38</v>
      </c>
      <c r="H294" s="69">
        <f t="shared" si="50"/>
        <v>1.1981009641115594E-2</v>
      </c>
      <c r="J294" s="67" t="s">
        <v>75</v>
      </c>
      <c r="K294" s="240">
        <v>38</v>
      </c>
      <c r="L294" s="241">
        <v>-38</v>
      </c>
      <c r="M294" s="242">
        <v>0</v>
      </c>
      <c r="N294" s="240">
        <v>38</v>
      </c>
      <c r="O294" s="241">
        <v>-38</v>
      </c>
      <c r="P294" s="242">
        <v>0</v>
      </c>
      <c r="Q294" s="240">
        <v>38</v>
      </c>
      <c r="R294" s="241">
        <v>-38</v>
      </c>
      <c r="S294" s="242">
        <v>0</v>
      </c>
      <c r="T294" s="240">
        <v>38</v>
      </c>
      <c r="U294" s="241">
        <v>-38</v>
      </c>
      <c r="V294" s="242">
        <v>0</v>
      </c>
      <c r="W294" s="240">
        <v>38</v>
      </c>
      <c r="X294" s="241">
        <v>-38</v>
      </c>
      <c r="Y294" s="242">
        <v>0</v>
      </c>
      <c r="Z294" s="241">
        <v>38</v>
      </c>
      <c r="AA294" s="241">
        <v>-38</v>
      </c>
      <c r="AB294" s="241">
        <v>0</v>
      </c>
      <c r="AC294" s="240">
        <v>38</v>
      </c>
      <c r="AD294" s="241">
        <v>-38</v>
      </c>
      <c r="AE294" s="242">
        <v>0</v>
      </c>
      <c r="AF294" s="240">
        <v>38</v>
      </c>
      <c r="AG294" s="241">
        <v>-38</v>
      </c>
      <c r="AH294" s="242">
        <v>0</v>
      </c>
      <c r="AI294" s="240">
        <v>38</v>
      </c>
      <c r="AJ294" s="241">
        <v>-38</v>
      </c>
      <c r="AK294" s="242">
        <v>0</v>
      </c>
      <c r="AL294" s="240">
        <v>38</v>
      </c>
      <c r="AM294" s="241">
        <v>-38</v>
      </c>
      <c r="AN294" s="242">
        <v>0</v>
      </c>
      <c r="AO294" s="240">
        <v>38</v>
      </c>
      <c r="AP294" s="241">
        <v>-38</v>
      </c>
      <c r="AQ294" s="242">
        <v>0</v>
      </c>
      <c r="AR294" s="240">
        <v>38</v>
      </c>
      <c r="AS294" s="241">
        <v>-38</v>
      </c>
      <c r="AT294" s="242">
        <v>38</v>
      </c>
    </row>
    <row r="295" spans="4:46" ht="12.75" customHeight="1" outlineLevel="2">
      <c r="D295" s="67" t="s">
        <v>13</v>
      </c>
      <c r="E295" s="85">
        <v>3150</v>
      </c>
      <c r="F295" s="84">
        <v>-7007.2949999999992</v>
      </c>
      <c r="G295" s="242">
        <v>-3857.2949999999992</v>
      </c>
      <c r="H295" s="69">
        <f t="shared" si="50"/>
        <v>0.20084801184961984</v>
      </c>
      <c r="J295" s="67" t="s">
        <v>13</v>
      </c>
      <c r="K295" s="240">
        <v>200</v>
      </c>
      <c r="L295" s="241">
        <v>-343.96</v>
      </c>
      <c r="M295" s="242">
        <v>-143.95999999999998</v>
      </c>
      <c r="N295" s="240">
        <v>250</v>
      </c>
      <c r="O295" s="241">
        <v>-231.595</v>
      </c>
      <c r="P295" s="242">
        <v>18.405000000000001</v>
      </c>
      <c r="Q295" s="240">
        <v>200</v>
      </c>
      <c r="R295" s="241">
        <v>-271.65999999999997</v>
      </c>
      <c r="S295" s="242">
        <v>-71.659999999999968</v>
      </c>
      <c r="T295" s="240">
        <v>100</v>
      </c>
      <c r="U295" s="241">
        <v>-500.25</v>
      </c>
      <c r="V295" s="242">
        <v>-400.25</v>
      </c>
      <c r="W295" s="240">
        <v>300</v>
      </c>
      <c r="X295" s="241">
        <v>-272.08</v>
      </c>
      <c r="Y295" s="242">
        <v>27.920000000000016</v>
      </c>
      <c r="Z295" s="241">
        <v>300</v>
      </c>
      <c r="AA295" s="241">
        <v>-988.38000000000011</v>
      </c>
      <c r="AB295" s="241">
        <v>-688.38000000000011</v>
      </c>
      <c r="AC295" s="240">
        <v>300</v>
      </c>
      <c r="AD295" s="241">
        <v>-850.95</v>
      </c>
      <c r="AE295" s="242">
        <v>-550.95000000000005</v>
      </c>
      <c r="AF295" s="240">
        <v>300</v>
      </c>
      <c r="AG295" s="241">
        <v>-968.91000000000008</v>
      </c>
      <c r="AH295" s="242">
        <v>-668.91000000000008</v>
      </c>
      <c r="AI295" s="240">
        <v>300</v>
      </c>
      <c r="AJ295" s="241">
        <v>-839.39</v>
      </c>
      <c r="AK295" s="242">
        <v>-539.39</v>
      </c>
      <c r="AL295" s="240">
        <v>300</v>
      </c>
      <c r="AM295" s="241">
        <v>-919.67999999999984</v>
      </c>
      <c r="AN295" s="242">
        <v>-619.67999999999984</v>
      </c>
      <c r="AO295" s="240">
        <v>300</v>
      </c>
      <c r="AP295" s="241">
        <v>-628.61999999999989</v>
      </c>
      <c r="AQ295" s="242">
        <v>-328.61999999999989</v>
      </c>
      <c r="AR295" s="240">
        <v>300</v>
      </c>
      <c r="AS295" s="241">
        <v>-841</v>
      </c>
      <c r="AT295" s="242">
        <v>108.17999999999998</v>
      </c>
    </row>
    <row r="296" spans="4:46" ht="12.75" customHeight="1" outlineLevel="2">
      <c r="D296" s="70" t="s">
        <v>14</v>
      </c>
      <c r="E296" s="85">
        <v>1080</v>
      </c>
      <c r="F296" s="84">
        <v>-589.01</v>
      </c>
      <c r="G296" s="242">
        <v>490.99</v>
      </c>
      <c r="H296" s="69">
        <f t="shared" si="50"/>
        <v>1.6882618394051425E-2</v>
      </c>
      <c r="J296" s="70" t="s">
        <v>14</v>
      </c>
      <c r="K296" s="240">
        <v>50</v>
      </c>
      <c r="L296" s="241">
        <v>-102.42000000000002</v>
      </c>
      <c r="M296" s="242">
        <v>-52.420000000000016</v>
      </c>
      <c r="N296" s="240">
        <v>100</v>
      </c>
      <c r="O296" s="241">
        <v>-60.640000000000008</v>
      </c>
      <c r="P296" s="242">
        <v>39.359999999999992</v>
      </c>
      <c r="Q296" s="240">
        <v>100</v>
      </c>
      <c r="R296" s="241">
        <v>-128.07</v>
      </c>
      <c r="S296" s="242">
        <v>-28.069999999999993</v>
      </c>
      <c r="T296" s="240">
        <v>30</v>
      </c>
      <c r="U296" s="241">
        <v>-93.88</v>
      </c>
      <c r="V296" s="242">
        <v>-63.879999999999995</v>
      </c>
      <c r="W296" s="240">
        <v>100</v>
      </c>
      <c r="X296" s="241">
        <v>-7.99</v>
      </c>
      <c r="Y296" s="242">
        <v>92.01</v>
      </c>
      <c r="Z296" s="241">
        <v>100</v>
      </c>
      <c r="AA296" s="241">
        <v>-15.61</v>
      </c>
      <c r="AB296" s="241">
        <v>84.39</v>
      </c>
      <c r="AC296" s="240">
        <v>100</v>
      </c>
      <c r="AD296" s="241">
        <v>0</v>
      </c>
      <c r="AE296" s="242">
        <v>100</v>
      </c>
      <c r="AF296" s="240">
        <v>100</v>
      </c>
      <c r="AG296" s="241">
        <v>-21.62</v>
      </c>
      <c r="AH296" s="242">
        <v>78.38</v>
      </c>
      <c r="AI296" s="240">
        <v>100</v>
      </c>
      <c r="AJ296" s="241">
        <v>0</v>
      </c>
      <c r="AK296" s="242">
        <v>100</v>
      </c>
      <c r="AL296" s="240">
        <v>100</v>
      </c>
      <c r="AM296" s="241">
        <v>-43.220000000000006</v>
      </c>
      <c r="AN296" s="242">
        <v>56.779999999999994</v>
      </c>
      <c r="AO296" s="240">
        <v>100</v>
      </c>
      <c r="AP296" s="241">
        <v>-102.77000000000001</v>
      </c>
      <c r="AQ296" s="242">
        <v>-2.7700000000000102</v>
      </c>
      <c r="AR296" s="240">
        <v>100</v>
      </c>
      <c r="AS296" s="241">
        <v>-126.76</v>
      </c>
      <c r="AT296" s="242">
        <v>87.210000000000008</v>
      </c>
    </row>
    <row r="297" spans="4:46" ht="12.75" customHeight="1" outlineLevel="2">
      <c r="D297" s="67" t="s">
        <v>15</v>
      </c>
      <c r="E297" s="85">
        <v>2380</v>
      </c>
      <c r="F297" s="84">
        <v>-2440.2404999999999</v>
      </c>
      <c r="G297" s="242">
        <v>-60.240499999999884</v>
      </c>
      <c r="H297" s="69">
        <f t="shared" si="50"/>
        <v>6.9943887457274492E-2</v>
      </c>
      <c r="J297" s="67" t="s">
        <v>15</v>
      </c>
      <c r="K297" s="240">
        <v>200</v>
      </c>
      <c r="L297" s="241">
        <v>-209.25</v>
      </c>
      <c r="M297" s="242">
        <v>-9.25</v>
      </c>
      <c r="N297" s="240">
        <v>200</v>
      </c>
      <c r="O297" s="241">
        <v>-176.89</v>
      </c>
      <c r="P297" s="242">
        <v>23.110000000000014</v>
      </c>
      <c r="Q297" s="240">
        <v>200</v>
      </c>
      <c r="R297" s="241">
        <v>-160.84</v>
      </c>
      <c r="S297" s="242">
        <v>39.159999999999997</v>
      </c>
      <c r="T297" s="240">
        <v>180</v>
      </c>
      <c r="U297" s="241">
        <v>-200.42000000000002</v>
      </c>
      <c r="V297" s="242">
        <v>-20.420000000000016</v>
      </c>
      <c r="W297" s="240">
        <v>200</v>
      </c>
      <c r="X297" s="241">
        <v>-111.78</v>
      </c>
      <c r="Y297" s="242">
        <v>88.22</v>
      </c>
      <c r="Z297" s="241">
        <v>200</v>
      </c>
      <c r="AA297" s="241">
        <v>-163.57000000000002</v>
      </c>
      <c r="AB297" s="241">
        <v>36.429999999999978</v>
      </c>
      <c r="AC297" s="240">
        <v>200</v>
      </c>
      <c r="AD297" s="241">
        <v>-168.16</v>
      </c>
      <c r="AE297" s="242">
        <v>31.840000000000003</v>
      </c>
      <c r="AF297" s="240">
        <v>200</v>
      </c>
      <c r="AG297" s="241">
        <v>-294.59000000000003</v>
      </c>
      <c r="AH297" s="242">
        <v>-94.590000000000032</v>
      </c>
      <c r="AI297" s="240">
        <v>200</v>
      </c>
      <c r="AJ297" s="241">
        <v>-302.06</v>
      </c>
      <c r="AK297" s="242">
        <v>-102.06</v>
      </c>
      <c r="AL297" s="240">
        <v>200</v>
      </c>
      <c r="AM297" s="241">
        <v>-267.59050000000002</v>
      </c>
      <c r="AN297" s="242">
        <v>-67.59050000000002</v>
      </c>
      <c r="AO297" s="240">
        <v>200</v>
      </c>
      <c r="AP297" s="241">
        <v>-291.59000000000003</v>
      </c>
      <c r="AQ297" s="242">
        <v>-91.590000000000032</v>
      </c>
      <c r="AR297" s="240">
        <v>200</v>
      </c>
      <c r="AS297" s="241">
        <v>-223.71</v>
      </c>
      <c r="AT297" s="242">
        <v>106.5</v>
      </c>
    </row>
    <row r="298" spans="4:46" ht="12.75" customHeight="1" outlineLevel="2">
      <c r="D298" s="67" t="s">
        <v>16</v>
      </c>
      <c r="E298" s="85">
        <v>430</v>
      </c>
      <c r="F298" s="84">
        <v>-431.15999999999997</v>
      </c>
      <c r="G298" s="242">
        <v>-1.1599999999999682</v>
      </c>
      <c r="H298" s="69">
        <f t="shared" si="50"/>
        <v>1.23582108058933E-2</v>
      </c>
      <c r="J298" s="67" t="s">
        <v>16</v>
      </c>
      <c r="K298" s="240">
        <v>30</v>
      </c>
      <c r="L298" s="241">
        <v>-68.42</v>
      </c>
      <c r="M298" s="242">
        <v>-38.42</v>
      </c>
      <c r="N298" s="240">
        <v>0</v>
      </c>
      <c r="O298" s="241">
        <v>-23.5</v>
      </c>
      <c r="P298" s="242">
        <v>-23.5</v>
      </c>
      <c r="Q298" s="240">
        <v>200</v>
      </c>
      <c r="R298" s="241">
        <v>-235.2</v>
      </c>
      <c r="S298" s="242">
        <v>-35.199999999999989</v>
      </c>
      <c r="T298" s="240">
        <v>50</v>
      </c>
      <c r="U298" s="241">
        <v>0</v>
      </c>
      <c r="V298" s="242">
        <v>50</v>
      </c>
      <c r="W298" s="240">
        <v>0</v>
      </c>
      <c r="X298" s="241">
        <v>-104.03999999999999</v>
      </c>
      <c r="Y298" s="242">
        <v>-104.03999999999999</v>
      </c>
      <c r="Z298" s="241">
        <v>0</v>
      </c>
      <c r="AA298" s="241">
        <v>0</v>
      </c>
      <c r="AB298" s="241">
        <v>0</v>
      </c>
      <c r="AC298" s="240">
        <v>50</v>
      </c>
      <c r="AD298" s="241">
        <v>0</v>
      </c>
      <c r="AE298" s="242">
        <v>50</v>
      </c>
      <c r="AF298" s="240">
        <v>0</v>
      </c>
      <c r="AG298" s="241">
        <v>0</v>
      </c>
      <c r="AH298" s="242">
        <v>0</v>
      </c>
      <c r="AI298" s="240">
        <v>0</v>
      </c>
      <c r="AJ298" s="241">
        <v>0</v>
      </c>
      <c r="AK298" s="242">
        <v>0</v>
      </c>
      <c r="AL298" s="240">
        <v>0</v>
      </c>
      <c r="AM298" s="241">
        <v>0</v>
      </c>
      <c r="AN298" s="242">
        <v>0</v>
      </c>
      <c r="AO298" s="240">
        <v>0</v>
      </c>
      <c r="AP298" s="241">
        <v>0</v>
      </c>
      <c r="AQ298" s="242">
        <v>0</v>
      </c>
      <c r="AR298" s="240">
        <v>100</v>
      </c>
      <c r="AS298" s="241">
        <v>-150</v>
      </c>
      <c r="AT298" s="242">
        <v>100</v>
      </c>
    </row>
    <row r="299" spans="4:46" ht="12.75" customHeight="1" outlineLevel="2">
      <c r="D299" s="67" t="s">
        <v>17</v>
      </c>
      <c r="E299" s="85">
        <v>1610</v>
      </c>
      <c r="F299" s="84">
        <v>-622.86999999999989</v>
      </c>
      <c r="G299" s="242">
        <v>987.13000000000011</v>
      </c>
      <c r="H299" s="69">
        <f t="shared" si="50"/>
        <v>1.7853137500386768E-2</v>
      </c>
      <c r="J299" s="67" t="s">
        <v>17</v>
      </c>
      <c r="K299" s="240">
        <v>100</v>
      </c>
      <c r="L299" s="241">
        <v>-168.25</v>
      </c>
      <c r="M299" s="242">
        <v>-68.25</v>
      </c>
      <c r="N299" s="240">
        <v>150</v>
      </c>
      <c r="O299" s="241">
        <v>-92.83</v>
      </c>
      <c r="P299" s="242">
        <v>57.17</v>
      </c>
      <c r="Q299" s="240">
        <v>100</v>
      </c>
      <c r="R299" s="241">
        <v>-96.33</v>
      </c>
      <c r="S299" s="242">
        <v>3.6700000000000017</v>
      </c>
      <c r="T299" s="240">
        <v>60</v>
      </c>
      <c r="U299" s="241">
        <v>-127.41999999999999</v>
      </c>
      <c r="V299" s="242">
        <v>-67.419999999999987</v>
      </c>
      <c r="W299" s="240">
        <v>150</v>
      </c>
      <c r="X299" s="241">
        <v>-79.539999999999992</v>
      </c>
      <c r="Y299" s="242">
        <v>70.460000000000008</v>
      </c>
      <c r="Z299" s="241">
        <v>150</v>
      </c>
      <c r="AA299" s="241">
        <v>-58.5</v>
      </c>
      <c r="AB299" s="241">
        <v>91.5</v>
      </c>
      <c r="AC299" s="240">
        <v>150</v>
      </c>
      <c r="AD299" s="241">
        <v>0</v>
      </c>
      <c r="AE299" s="242">
        <v>150</v>
      </c>
      <c r="AF299" s="240">
        <v>150</v>
      </c>
      <c r="AG299" s="241">
        <v>0</v>
      </c>
      <c r="AH299" s="242">
        <v>150</v>
      </c>
      <c r="AI299" s="240">
        <v>150</v>
      </c>
      <c r="AJ299" s="241">
        <v>0</v>
      </c>
      <c r="AK299" s="242">
        <v>150</v>
      </c>
      <c r="AL299" s="240">
        <v>150</v>
      </c>
      <c r="AM299" s="241">
        <v>0</v>
      </c>
      <c r="AN299" s="242">
        <v>150</v>
      </c>
      <c r="AO299" s="240">
        <v>150</v>
      </c>
      <c r="AP299" s="241">
        <v>0</v>
      </c>
      <c r="AQ299" s="242">
        <v>150</v>
      </c>
      <c r="AR299" s="240">
        <v>150</v>
      </c>
      <c r="AS299" s="241">
        <v>0</v>
      </c>
      <c r="AT299" s="242">
        <v>150</v>
      </c>
    </row>
    <row r="300" spans="4:46" ht="12.75" customHeight="1" outlineLevel="2">
      <c r="D300" s="67" t="s">
        <v>18</v>
      </c>
      <c r="E300" s="85">
        <v>360</v>
      </c>
      <c r="F300" s="84">
        <v>-275.92999999999995</v>
      </c>
      <c r="G300" s="242">
        <v>84.07000000000005</v>
      </c>
      <c r="H300" s="69">
        <f t="shared" si="50"/>
        <v>7.9088994982608254E-3</v>
      </c>
      <c r="J300" s="67" t="s">
        <v>18</v>
      </c>
      <c r="K300" s="240">
        <v>30</v>
      </c>
      <c r="L300" s="241">
        <v>-28.33</v>
      </c>
      <c r="M300" s="242">
        <v>1.6700000000000017</v>
      </c>
      <c r="N300" s="240">
        <v>30</v>
      </c>
      <c r="O300" s="241">
        <v>-28.33</v>
      </c>
      <c r="P300" s="242">
        <v>1.6700000000000017</v>
      </c>
      <c r="Q300" s="240">
        <v>30</v>
      </c>
      <c r="R300" s="241">
        <v>-28.33</v>
      </c>
      <c r="S300" s="242">
        <v>1.6700000000000017</v>
      </c>
      <c r="T300" s="240">
        <v>30</v>
      </c>
      <c r="U300" s="241">
        <v>-42.779999999999994</v>
      </c>
      <c r="V300" s="242">
        <v>-12.779999999999994</v>
      </c>
      <c r="W300" s="240">
        <v>30</v>
      </c>
      <c r="X300" s="241">
        <v>-28.33</v>
      </c>
      <c r="Y300" s="242">
        <v>1.6700000000000017</v>
      </c>
      <c r="Z300" s="241">
        <v>30</v>
      </c>
      <c r="AA300" s="241">
        <v>-28.33</v>
      </c>
      <c r="AB300" s="241">
        <v>1.6700000000000017</v>
      </c>
      <c r="AC300" s="240">
        <v>30</v>
      </c>
      <c r="AD300" s="241">
        <v>-30.5</v>
      </c>
      <c r="AE300" s="242">
        <v>-0.5</v>
      </c>
      <c r="AF300" s="240">
        <v>30</v>
      </c>
      <c r="AG300" s="241">
        <v>-30.5</v>
      </c>
      <c r="AH300" s="242">
        <v>-0.5</v>
      </c>
      <c r="AI300" s="240">
        <v>30</v>
      </c>
      <c r="AJ300" s="241">
        <v>-30.5</v>
      </c>
      <c r="AK300" s="242">
        <v>-0.5</v>
      </c>
      <c r="AL300" s="240">
        <v>30</v>
      </c>
      <c r="AM300" s="241">
        <v>0</v>
      </c>
      <c r="AN300" s="242">
        <v>30</v>
      </c>
      <c r="AO300" s="240">
        <v>30</v>
      </c>
      <c r="AP300" s="241">
        <v>0</v>
      </c>
      <c r="AQ300" s="242">
        <v>30</v>
      </c>
      <c r="AR300" s="240">
        <v>30</v>
      </c>
      <c r="AS300" s="241">
        <v>0</v>
      </c>
      <c r="AT300" s="242">
        <v>30</v>
      </c>
    </row>
    <row r="301" spans="4:46" ht="12.75" customHeight="1" outlineLevel="2">
      <c r="D301" s="67" t="s">
        <v>19</v>
      </c>
      <c r="E301" s="85">
        <v>12948</v>
      </c>
      <c r="F301" s="84">
        <v>-10860.309999999998</v>
      </c>
      <c r="G301" s="242">
        <v>2087.6900000000023</v>
      </c>
      <c r="H301" s="69">
        <f t="shared" si="50"/>
        <v>0.31128583448685188</v>
      </c>
      <c r="J301" s="67" t="s">
        <v>19</v>
      </c>
      <c r="K301" s="240">
        <v>546</v>
      </c>
      <c r="L301" s="241">
        <v>-543.80999999999995</v>
      </c>
      <c r="M301" s="242">
        <v>2.1900000000000546</v>
      </c>
      <c r="N301" s="240">
        <v>1546</v>
      </c>
      <c r="O301" s="241">
        <v>-1545.77</v>
      </c>
      <c r="P301" s="242">
        <v>0.23000000000001819</v>
      </c>
      <c r="Q301" s="240">
        <v>546</v>
      </c>
      <c r="R301" s="241">
        <v>-543.81999999999994</v>
      </c>
      <c r="S301" s="242">
        <v>2.1800000000000637</v>
      </c>
      <c r="T301" s="240">
        <v>1546</v>
      </c>
      <c r="U301" s="241">
        <v>-1545.79</v>
      </c>
      <c r="V301" s="242">
        <v>0.21000000000003638</v>
      </c>
      <c r="W301" s="240">
        <v>646</v>
      </c>
      <c r="X301" s="241">
        <v>-543.76</v>
      </c>
      <c r="Y301" s="242">
        <v>102.24000000000001</v>
      </c>
      <c r="Z301" s="241">
        <v>1746</v>
      </c>
      <c r="AA301" s="241">
        <v>-743.81999999999994</v>
      </c>
      <c r="AB301" s="241">
        <v>1002.1800000000001</v>
      </c>
      <c r="AC301" s="240">
        <v>746</v>
      </c>
      <c r="AD301" s="241">
        <v>-743.6099999999999</v>
      </c>
      <c r="AE301" s="242">
        <v>2.3900000000001</v>
      </c>
      <c r="AF301" s="240">
        <v>1746</v>
      </c>
      <c r="AG301" s="241">
        <v>-1743.82</v>
      </c>
      <c r="AH301" s="242">
        <v>2.1800000000000637</v>
      </c>
      <c r="AI301" s="240">
        <v>546</v>
      </c>
      <c r="AJ301" s="241">
        <v>-750.49</v>
      </c>
      <c r="AK301" s="242">
        <v>-204.49</v>
      </c>
      <c r="AL301" s="240">
        <v>1746</v>
      </c>
      <c r="AM301" s="241">
        <v>-568.82000000000005</v>
      </c>
      <c r="AN301" s="242">
        <v>1177.1799999999998</v>
      </c>
      <c r="AO301" s="240">
        <v>546</v>
      </c>
      <c r="AP301" s="241">
        <v>-1043.8200000000002</v>
      </c>
      <c r="AQ301" s="242">
        <v>-497.82000000000016</v>
      </c>
      <c r="AR301" s="240">
        <v>1042</v>
      </c>
      <c r="AS301" s="241">
        <v>-542.98</v>
      </c>
      <c r="AT301" s="242">
        <v>499.02</v>
      </c>
    </row>
    <row r="302" spans="4:46" ht="12.75" customHeight="1" outlineLevel="2">
      <c r="D302" s="67" t="s">
        <v>20</v>
      </c>
      <c r="E302" s="85">
        <v>800</v>
      </c>
      <c r="F302" s="84">
        <v>-2230.39</v>
      </c>
      <c r="G302" s="242">
        <v>-1430.3899999999999</v>
      </c>
      <c r="H302" s="69">
        <f t="shared" si="50"/>
        <v>6.3929005008248344E-2</v>
      </c>
      <c r="J302" s="67" t="s">
        <v>20</v>
      </c>
      <c r="K302" s="240">
        <v>100</v>
      </c>
      <c r="L302" s="241">
        <v>-94.47</v>
      </c>
      <c r="M302" s="242">
        <v>5.5300000000000011</v>
      </c>
      <c r="N302" s="240">
        <v>50</v>
      </c>
      <c r="O302" s="241">
        <v>-62.79</v>
      </c>
      <c r="P302" s="242">
        <v>-12.79</v>
      </c>
      <c r="Q302" s="240">
        <v>200</v>
      </c>
      <c r="R302" s="241">
        <v>-214.86</v>
      </c>
      <c r="S302" s="242">
        <v>-14.860000000000014</v>
      </c>
      <c r="T302" s="240">
        <v>50</v>
      </c>
      <c r="U302" s="241">
        <v>-45</v>
      </c>
      <c r="V302" s="242">
        <v>5</v>
      </c>
      <c r="W302" s="240">
        <v>50</v>
      </c>
      <c r="X302" s="241">
        <v>-239.15</v>
      </c>
      <c r="Y302" s="242">
        <v>-189.15</v>
      </c>
      <c r="Z302" s="241">
        <v>50</v>
      </c>
      <c r="AA302" s="241">
        <v>-113.69</v>
      </c>
      <c r="AB302" s="241">
        <v>-63.69</v>
      </c>
      <c r="AC302" s="240">
        <v>50</v>
      </c>
      <c r="AD302" s="241">
        <v>-21.83</v>
      </c>
      <c r="AE302" s="242">
        <v>28.17</v>
      </c>
      <c r="AF302" s="240">
        <v>50</v>
      </c>
      <c r="AG302" s="241">
        <v>-182</v>
      </c>
      <c r="AH302" s="242">
        <v>-132</v>
      </c>
      <c r="AI302" s="240">
        <v>50</v>
      </c>
      <c r="AJ302" s="241">
        <v>-502.61999999999995</v>
      </c>
      <c r="AK302" s="242">
        <v>-452.61999999999995</v>
      </c>
      <c r="AL302" s="240">
        <v>50</v>
      </c>
      <c r="AM302" s="241">
        <v>-149.84</v>
      </c>
      <c r="AN302" s="242">
        <v>-99.84</v>
      </c>
      <c r="AO302" s="240">
        <v>50</v>
      </c>
      <c r="AP302" s="241">
        <v>-509.14</v>
      </c>
      <c r="AQ302" s="242">
        <v>-459.14</v>
      </c>
      <c r="AR302" s="240">
        <v>50</v>
      </c>
      <c r="AS302" s="241">
        <v>-192.98999999999998</v>
      </c>
      <c r="AT302" s="242">
        <v>-45</v>
      </c>
    </row>
    <row r="303" spans="4:46" ht="12.75" customHeight="1" outlineLevel="2">
      <c r="D303" s="67" t="s">
        <v>21</v>
      </c>
      <c r="E303" s="85">
        <v>1230</v>
      </c>
      <c r="F303" s="84">
        <v>-367.92</v>
      </c>
      <c r="G303" s="242">
        <v>862.07999999999993</v>
      </c>
      <c r="H303" s="69">
        <f t="shared" si="50"/>
        <v>1.054558150038098E-2</v>
      </c>
      <c r="J303" s="67" t="s">
        <v>21</v>
      </c>
      <c r="K303" s="240">
        <v>130</v>
      </c>
      <c r="L303" s="241">
        <v>-31.23</v>
      </c>
      <c r="M303" s="242">
        <v>98.77</v>
      </c>
      <c r="N303" s="240">
        <v>100</v>
      </c>
      <c r="O303" s="241">
        <v>-25</v>
      </c>
      <c r="P303" s="242">
        <v>75</v>
      </c>
      <c r="Q303" s="240">
        <v>100</v>
      </c>
      <c r="R303" s="241">
        <v>-131.9</v>
      </c>
      <c r="S303" s="242">
        <v>-31.900000000000006</v>
      </c>
      <c r="T303" s="240">
        <v>100</v>
      </c>
      <c r="U303" s="241">
        <v>-25</v>
      </c>
      <c r="V303" s="242">
        <v>75</v>
      </c>
      <c r="W303" s="240">
        <v>100</v>
      </c>
      <c r="X303" s="241">
        <v>-25</v>
      </c>
      <c r="Y303" s="242">
        <v>75</v>
      </c>
      <c r="Z303" s="241">
        <v>100</v>
      </c>
      <c r="AA303" s="241">
        <v>-25</v>
      </c>
      <c r="AB303" s="241">
        <v>75</v>
      </c>
      <c r="AC303" s="240">
        <v>100</v>
      </c>
      <c r="AD303" s="241">
        <v>-25</v>
      </c>
      <c r="AE303" s="242">
        <v>75</v>
      </c>
      <c r="AF303" s="240">
        <v>100</v>
      </c>
      <c r="AG303" s="241">
        <v>-28.79</v>
      </c>
      <c r="AH303" s="242">
        <v>71.210000000000008</v>
      </c>
      <c r="AI303" s="240">
        <v>100</v>
      </c>
      <c r="AJ303" s="241">
        <v>-26</v>
      </c>
      <c r="AK303" s="242">
        <v>74</v>
      </c>
      <c r="AL303" s="240">
        <v>100</v>
      </c>
      <c r="AM303" s="241">
        <v>0</v>
      </c>
      <c r="AN303" s="242">
        <v>100</v>
      </c>
      <c r="AO303" s="240">
        <v>100</v>
      </c>
      <c r="AP303" s="241">
        <v>-25</v>
      </c>
      <c r="AQ303" s="242">
        <v>75</v>
      </c>
      <c r="AR303" s="240">
        <v>100</v>
      </c>
      <c r="AS303" s="241">
        <v>-25</v>
      </c>
      <c r="AT303" s="242">
        <v>100</v>
      </c>
    </row>
    <row r="304" spans="4:46" ht="13.5" customHeight="1" outlineLevel="2">
      <c r="D304" s="67" t="s">
        <v>22</v>
      </c>
      <c r="E304" s="85">
        <v>6720</v>
      </c>
      <c r="F304" s="84">
        <v>-6436.9400000000005</v>
      </c>
      <c r="G304" s="242">
        <v>283.05999999999949</v>
      </c>
      <c r="H304" s="69">
        <f t="shared" si="50"/>
        <v>0.18450009617053259</v>
      </c>
      <c r="J304" s="67" t="s">
        <v>22</v>
      </c>
      <c r="K304" s="240">
        <v>500</v>
      </c>
      <c r="L304" s="241">
        <v>-491</v>
      </c>
      <c r="M304" s="242">
        <v>9</v>
      </c>
      <c r="N304" s="240">
        <v>500</v>
      </c>
      <c r="O304" s="241">
        <v>-492</v>
      </c>
      <c r="P304" s="242">
        <v>8</v>
      </c>
      <c r="Q304" s="240">
        <v>500</v>
      </c>
      <c r="R304" s="241">
        <v>-575</v>
      </c>
      <c r="S304" s="242">
        <v>-75</v>
      </c>
      <c r="T304" s="240">
        <v>500</v>
      </c>
      <c r="U304" s="241">
        <v>-491</v>
      </c>
      <c r="V304" s="242">
        <v>9</v>
      </c>
      <c r="W304" s="240">
        <v>500</v>
      </c>
      <c r="X304" s="241">
        <v>-500</v>
      </c>
      <c r="Y304" s="242">
        <v>0</v>
      </c>
      <c r="Z304" s="241">
        <v>500</v>
      </c>
      <c r="AA304" s="241">
        <v>-491</v>
      </c>
      <c r="AB304" s="241">
        <v>9</v>
      </c>
      <c r="AC304" s="240">
        <v>500</v>
      </c>
      <c r="AD304" s="241">
        <v>-520</v>
      </c>
      <c r="AE304" s="242">
        <v>-20</v>
      </c>
      <c r="AF304" s="240">
        <v>500</v>
      </c>
      <c r="AG304" s="241">
        <v>-686.94</v>
      </c>
      <c r="AH304" s="242">
        <v>-186.94000000000005</v>
      </c>
      <c r="AI304" s="240">
        <v>500</v>
      </c>
      <c r="AJ304" s="241">
        <v>-730</v>
      </c>
      <c r="AK304" s="242">
        <v>-230</v>
      </c>
      <c r="AL304" s="240">
        <v>730</v>
      </c>
      <c r="AM304" s="241">
        <v>-730</v>
      </c>
      <c r="AN304" s="242">
        <v>0</v>
      </c>
      <c r="AO304" s="240">
        <v>730</v>
      </c>
      <c r="AP304" s="241">
        <v>-730</v>
      </c>
      <c r="AQ304" s="242">
        <v>0</v>
      </c>
      <c r="AR304" s="240">
        <v>760</v>
      </c>
      <c r="AS304" s="241">
        <v>-760</v>
      </c>
      <c r="AT304" s="242">
        <v>760</v>
      </c>
    </row>
    <row r="305" spans="3:46" ht="13.5" customHeight="1" outlineLevel="2">
      <c r="D305" s="67" t="s">
        <v>23</v>
      </c>
      <c r="E305" s="85">
        <v>775</v>
      </c>
      <c r="F305" s="84">
        <v>-472.98</v>
      </c>
      <c r="G305" s="242">
        <v>302.02</v>
      </c>
      <c r="H305" s="69">
        <f t="shared" si="50"/>
        <v>1.3556885024054674E-2</v>
      </c>
      <c r="J305" s="67" t="s">
        <v>23</v>
      </c>
      <c r="K305" s="240">
        <v>0</v>
      </c>
      <c r="L305" s="241">
        <v>0</v>
      </c>
      <c r="M305" s="242">
        <v>0</v>
      </c>
      <c r="N305" s="240">
        <v>0</v>
      </c>
      <c r="O305" s="241">
        <v>0</v>
      </c>
      <c r="P305" s="242">
        <v>0</v>
      </c>
      <c r="Q305" s="240">
        <v>184</v>
      </c>
      <c r="R305" s="241">
        <v>-184</v>
      </c>
      <c r="S305" s="242">
        <v>0</v>
      </c>
      <c r="T305" s="240">
        <v>0</v>
      </c>
      <c r="U305" s="241">
        <v>0</v>
      </c>
      <c r="V305" s="242">
        <v>0</v>
      </c>
      <c r="W305" s="240">
        <v>191</v>
      </c>
      <c r="X305" s="241">
        <v>-191</v>
      </c>
      <c r="Y305" s="242">
        <v>0</v>
      </c>
      <c r="Z305" s="241">
        <v>0</v>
      </c>
      <c r="AA305" s="241">
        <v>0</v>
      </c>
      <c r="AB305" s="241">
        <v>0</v>
      </c>
      <c r="AC305" s="240">
        <v>300</v>
      </c>
      <c r="AD305" s="241">
        <v>0</v>
      </c>
      <c r="AE305" s="242">
        <v>300</v>
      </c>
      <c r="AF305" s="240">
        <v>0</v>
      </c>
      <c r="AG305" s="241">
        <v>0</v>
      </c>
      <c r="AH305" s="242">
        <v>0</v>
      </c>
      <c r="AI305" s="240">
        <v>0</v>
      </c>
      <c r="AJ305" s="241">
        <v>0</v>
      </c>
      <c r="AK305" s="242">
        <v>0</v>
      </c>
      <c r="AL305" s="240">
        <v>0</v>
      </c>
      <c r="AM305" s="241">
        <v>0</v>
      </c>
      <c r="AN305" s="242">
        <v>0</v>
      </c>
      <c r="AO305" s="240">
        <v>0</v>
      </c>
      <c r="AP305" s="241">
        <v>0</v>
      </c>
      <c r="AQ305" s="242">
        <v>0</v>
      </c>
      <c r="AR305" s="240">
        <v>100</v>
      </c>
      <c r="AS305" s="241">
        <v>-97.98</v>
      </c>
      <c r="AT305" s="242">
        <v>2.019999999999996</v>
      </c>
    </row>
    <row r="306" spans="3:46" ht="13.5" outlineLevel="2" thickBot="1">
      <c r="D306" s="88" t="s">
        <v>25</v>
      </c>
      <c r="E306" s="85">
        <v>90</v>
      </c>
      <c r="F306" s="84">
        <v>-37.82</v>
      </c>
      <c r="G306" s="242">
        <v>52.18</v>
      </c>
      <c r="H306" s="71">
        <f t="shared" si="50"/>
        <v>1.084023408198545E-3</v>
      </c>
      <c r="J306" s="30" t="s">
        <v>25</v>
      </c>
      <c r="K306" s="240">
        <v>30</v>
      </c>
      <c r="L306" s="241">
        <v>0</v>
      </c>
      <c r="M306" s="247">
        <v>30</v>
      </c>
      <c r="N306" s="245">
        <v>40</v>
      </c>
      <c r="O306" s="246">
        <v>-37.82</v>
      </c>
      <c r="P306" s="247">
        <v>2.1799999999999997</v>
      </c>
      <c r="Q306" s="245">
        <v>20</v>
      </c>
      <c r="R306" s="246">
        <v>0</v>
      </c>
      <c r="S306" s="247">
        <v>20</v>
      </c>
      <c r="T306" s="245">
        <v>0</v>
      </c>
      <c r="U306" s="246">
        <v>0</v>
      </c>
      <c r="V306" s="247"/>
      <c r="W306" s="245"/>
      <c r="X306" s="246"/>
      <c r="Y306" s="242"/>
      <c r="Z306" s="241"/>
      <c r="AA306" s="241"/>
      <c r="AB306" s="241"/>
      <c r="AC306" s="245"/>
      <c r="AD306" s="246"/>
      <c r="AE306" s="242"/>
      <c r="AF306" s="245"/>
      <c r="AG306" s="241"/>
      <c r="AH306" s="242"/>
      <c r="AI306" s="240"/>
      <c r="AJ306" s="241"/>
      <c r="AK306" s="242"/>
      <c r="AL306" s="240"/>
      <c r="AM306" s="241"/>
      <c r="AN306" s="242"/>
      <c r="AO306" s="240">
        <v>0</v>
      </c>
      <c r="AP306" s="241">
        <v>0</v>
      </c>
      <c r="AQ306" s="242"/>
      <c r="AR306" s="240">
        <v>0</v>
      </c>
      <c r="AS306" s="241">
        <v>-41.77</v>
      </c>
      <c r="AT306" s="242"/>
    </row>
    <row r="307" spans="3:46" ht="13.5" outlineLevel="2" thickBot="1">
      <c r="D307" s="72" t="s">
        <v>29</v>
      </c>
      <c r="E307" s="73">
        <v>34325.199999999997</v>
      </c>
      <c r="F307" s="74">
        <v>-34888.545499999993</v>
      </c>
      <c r="G307" s="78">
        <v>-563.34549999999672</v>
      </c>
      <c r="J307" s="75" t="s">
        <v>29</v>
      </c>
      <c r="K307" s="264">
        <v>2299</v>
      </c>
      <c r="L307" s="265">
        <v>-2403.77</v>
      </c>
      <c r="M307" s="266">
        <v>-104.76999999999992</v>
      </c>
      <c r="N307" s="87">
        <v>3359</v>
      </c>
      <c r="O307" s="87">
        <v>-3216.895</v>
      </c>
      <c r="P307" s="90">
        <v>142.10500000000005</v>
      </c>
      <c r="Q307" s="89">
        <v>2763</v>
      </c>
      <c r="R307" s="87">
        <v>-2968.8199999999997</v>
      </c>
      <c r="S307" s="90">
        <v>-205.81999999999988</v>
      </c>
      <c r="T307" s="264">
        <v>3044</v>
      </c>
      <c r="U307" s="265">
        <v>-3441.5299999999997</v>
      </c>
      <c r="V307" s="266">
        <v>-397.53</v>
      </c>
      <c r="W307" s="264">
        <v>2650</v>
      </c>
      <c r="X307" s="265">
        <v>-2360.66</v>
      </c>
      <c r="Y307" s="266">
        <v>289.34000000000003</v>
      </c>
      <c r="Z307" s="264">
        <v>3379</v>
      </c>
      <c r="AA307" s="265">
        <v>-2792.58</v>
      </c>
      <c r="AB307" s="266">
        <v>586.41999999999985</v>
      </c>
      <c r="AC307" s="264">
        <v>2739</v>
      </c>
      <c r="AD307" s="265">
        <v>-2567.39</v>
      </c>
      <c r="AE307" s="266">
        <v>171.61000000000007</v>
      </c>
      <c r="AF307" s="264">
        <v>3389</v>
      </c>
      <c r="AG307" s="265">
        <v>-4277.67</v>
      </c>
      <c r="AH307" s="266">
        <v>-888.67000000000007</v>
      </c>
      <c r="AI307" s="264">
        <v>2233</v>
      </c>
      <c r="AJ307" s="265">
        <v>-3726.09</v>
      </c>
      <c r="AK307" s="266">
        <v>-1493.09</v>
      </c>
      <c r="AL307" s="264">
        <v>3686.2</v>
      </c>
      <c r="AM307" s="265">
        <v>-3045.3705</v>
      </c>
      <c r="AN307" s="266">
        <v>640.82949999999994</v>
      </c>
      <c r="AO307" s="264">
        <v>2459</v>
      </c>
      <c r="AP307" s="265">
        <v>-3564.5</v>
      </c>
      <c r="AQ307" s="266">
        <v>-1105.5</v>
      </c>
      <c r="AR307" s="264">
        <v>3190</v>
      </c>
      <c r="AS307" s="265">
        <v>-1034.07</v>
      </c>
      <c r="AT307" s="266">
        <v>2155.9299999999998</v>
      </c>
    </row>
    <row r="308" spans="3:46" customFormat="1" ht="13.5" outlineLevel="1" thickBot="1"/>
    <row r="309" spans="3:46">
      <c r="D309" s="718" t="s">
        <v>76</v>
      </c>
      <c r="E309" s="716"/>
      <c r="F309" s="716"/>
      <c r="G309" s="717"/>
      <c r="J309" s="59" t="s">
        <v>7</v>
      </c>
      <c r="K309" s="715" t="s">
        <v>77</v>
      </c>
      <c r="L309" s="716"/>
      <c r="M309" s="717"/>
      <c r="N309" s="715" t="s">
        <v>78</v>
      </c>
      <c r="O309" s="716"/>
      <c r="P309" s="717"/>
      <c r="Q309" s="715" t="s">
        <v>79</v>
      </c>
      <c r="R309" s="719"/>
      <c r="S309" s="720"/>
      <c r="T309" s="715" t="s">
        <v>80</v>
      </c>
      <c r="U309" s="716"/>
      <c r="V309" s="717"/>
      <c r="W309" s="715" t="s">
        <v>81</v>
      </c>
      <c r="X309" s="719"/>
      <c r="Y309" s="720"/>
      <c r="Z309" s="715" t="s">
        <v>82</v>
      </c>
      <c r="AA309" s="716"/>
      <c r="AB309" s="717"/>
      <c r="AC309" s="715" t="s">
        <v>83</v>
      </c>
      <c r="AD309" s="719"/>
      <c r="AE309" s="720"/>
      <c r="AF309" s="715" t="s">
        <v>84</v>
      </c>
      <c r="AG309" s="716"/>
      <c r="AH309" s="717"/>
      <c r="AI309" s="715" t="s">
        <v>85</v>
      </c>
      <c r="AJ309" s="716"/>
      <c r="AK309" s="717"/>
      <c r="AL309" s="715" t="s">
        <v>86</v>
      </c>
      <c r="AM309" s="716"/>
      <c r="AN309" s="717"/>
      <c r="AO309" s="715" t="s">
        <v>87</v>
      </c>
      <c r="AP309" s="716"/>
      <c r="AQ309" s="717"/>
      <c r="AR309" s="715" t="s">
        <v>88</v>
      </c>
      <c r="AS309" s="716"/>
      <c r="AT309" s="717"/>
    </row>
    <row r="310" spans="3:46">
      <c r="C310" s="31"/>
      <c r="D310" s="79" t="s">
        <v>8</v>
      </c>
      <c r="E310" s="79"/>
      <c r="F310" s="80">
        <f>F21-F45</f>
        <v>3063.58</v>
      </c>
      <c r="G310" s="81"/>
      <c r="J310" s="79" t="s">
        <v>8</v>
      </c>
      <c r="K310" s="82"/>
      <c r="L310" s="80">
        <f>L21-L45</f>
        <v>152.5</v>
      </c>
      <c r="M310" s="83"/>
      <c r="N310" s="82"/>
      <c r="O310" s="80">
        <f>O21-O45</f>
        <v>200.45000000000005</v>
      </c>
      <c r="P310" s="83"/>
      <c r="Q310" s="82"/>
      <c r="R310" s="80">
        <f>R21-R45</f>
        <v>-11.350000000000023</v>
      </c>
      <c r="S310" s="83"/>
      <c r="T310" s="82"/>
      <c r="U310" s="80">
        <f>U21-U45</f>
        <v>-69.349999999999994</v>
      </c>
      <c r="V310" s="83"/>
      <c r="W310" s="82"/>
      <c r="X310" s="80">
        <f>X21-X45</f>
        <v>94.009999999999991</v>
      </c>
      <c r="Y310" s="83"/>
      <c r="Z310" s="82"/>
      <c r="AA310" s="80">
        <f>AA21-AA45</f>
        <v>169.45999999999998</v>
      </c>
      <c r="AB310" s="83"/>
      <c r="AC310" s="82"/>
      <c r="AD310" s="80">
        <f>AD21-AD45</f>
        <v>370.46</v>
      </c>
      <c r="AE310" s="83"/>
      <c r="AF310" s="82"/>
      <c r="AG310" s="80">
        <f>AG21-AG45</f>
        <v>264.45</v>
      </c>
      <c r="AH310" s="83"/>
      <c r="AI310" s="80"/>
      <c r="AJ310" s="80">
        <f>AJ21-AJ45</f>
        <v>469</v>
      </c>
      <c r="AK310" s="80"/>
      <c r="AL310" s="82"/>
      <c r="AM310" s="80">
        <f>AM21-AM45</f>
        <v>754.95</v>
      </c>
      <c r="AN310" s="83"/>
      <c r="AO310" s="82"/>
      <c r="AP310" s="80">
        <f>AP21-AP45</f>
        <v>453</v>
      </c>
      <c r="AQ310" s="83"/>
      <c r="AR310" s="82"/>
      <c r="AS310" s="80">
        <f>AS21-AS45</f>
        <v>216</v>
      </c>
      <c r="AT310" s="83"/>
    </row>
    <row r="311" spans="3:46">
      <c r="D311" s="18" t="s">
        <v>9</v>
      </c>
      <c r="E311" s="18"/>
      <c r="F311" s="84">
        <f>F22-F46</f>
        <v>2299.8000000000002</v>
      </c>
      <c r="G311" s="20"/>
      <c r="J311" s="18" t="s">
        <v>9</v>
      </c>
      <c r="K311" s="85"/>
      <c r="L311" s="84">
        <f>L22-L46</f>
        <v>-6</v>
      </c>
      <c r="M311" s="86"/>
      <c r="N311" s="85"/>
      <c r="O311" s="84">
        <f>O22-O46</f>
        <v>-6</v>
      </c>
      <c r="P311" s="86"/>
      <c r="Q311" s="85"/>
      <c r="R311" s="84">
        <f>R22-R46</f>
        <v>-10</v>
      </c>
      <c r="S311" s="86"/>
      <c r="T311" s="85"/>
      <c r="U311" s="84">
        <f>U22-U46</f>
        <v>-10</v>
      </c>
      <c r="V311" s="86"/>
      <c r="W311" s="85"/>
      <c r="X311" s="84">
        <f>X22-X46</f>
        <v>-26.199999999999989</v>
      </c>
      <c r="Y311" s="86"/>
      <c r="Z311" s="85"/>
      <c r="AA311" s="84">
        <f>AA22-AA46</f>
        <v>332</v>
      </c>
      <c r="AB311" s="86"/>
      <c r="AC311" s="85"/>
      <c r="AD311" s="84">
        <f>AD22-AD46</f>
        <v>332</v>
      </c>
      <c r="AE311" s="86"/>
      <c r="AF311" s="85"/>
      <c r="AG311" s="84">
        <f>AG22-AG46</f>
        <v>346</v>
      </c>
      <c r="AH311" s="86"/>
      <c r="AI311" s="84"/>
      <c r="AJ311" s="84">
        <f>AJ22-AJ46</f>
        <v>342</v>
      </c>
      <c r="AK311" s="84"/>
      <c r="AL311" s="85"/>
      <c r="AM311" s="84">
        <f>AM22-AM46</f>
        <v>322</v>
      </c>
      <c r="AN311" s="86"/>
      <c r="AO311" s="85"/>
      <c r="AP311" s="84">
        <f>AP22-AP46</f>
        <v>342</v>
      </c>
      <c r="AQ311" s="86"/>
      <c r="AR311" s="85"/>
      <c r="AS311" s="84">
        <f>AS22-AS46</f>
        <v>342</v>
      </c>
      <c r="AT311" s="86"/>
    </row>
    <row r="312" spans="3:46">
      <c r="D312" s="18" t="s">
        <v>10</v>
      </c>
      <c r="E312" s="18"/>
      <c r="F312" s="84">
        <f>F23-F47</f>
        <v>0</v>
      </c>
      <c r="G312" s="20"/>
      <c r="J312" s="18" t="s">
        <v>10</v>
      </c>
      <c r="K312" s="85"/>
      <c r="L312" s="84">
        <f>L23-L47</f>
        <v>0</v>
      </c>
      <c r="M312" s="86"/>
      <c r="N312" s="85"/>
      <c r="O312" s="84">
        <f>O23-O47</f>
        <v>0</v>
      </c>
      <c r="P312" s="86"/>
      <c r="Q312" s="85"/>
      <c r="R312" s="84">
        <f>R23-R47</f>
        <v>0</v>
      </c>
      <c r="S312" s="86"/>
      <c r="T312" s="85"/>
      <c r="U312" s="84">
        <f>U23-U47</f>
        <v>0</v>
      </c>
      <c r="V312" s="86"/>
      <c r="W312" s="85"/>
      <c r="X312" s="84">
        <f>X23-X47</f>
        <v>0</v>
      </c>
      <c r="Y312" s="86"/>
      <c r="Z312" s="85"/>
      <c r="AA312" s="84">
        <f>AA23-AA47</f>
        <v>0</v>
      </c>
      <c r="AB312" s="86"/>
      <c r="AC312" s="85"/>
      <c r="AD312" s="84">
        <f>AD23-AD47</f>
        <v>0</v>
      </c>
      <c r="AE312" s="86"/>
      <c r="AF312" s="85"/>
      <c r="AG312" s="84">
        <f>AG23-AG47</f>
        <v>0</v>
      </c>
      <c r="AH312" s="86"/>
      <c r="AI312" s="84"/>
      <c r="AJ312" s="84">
        <f>AJ23-AJ47</f>
        <v>0</v>
      </c>
      <c r="AK312" s="84"/>
      <c r="AL312" s="85"/>
      <c r="AM312" s="84">
        <f>AM23-AM47</f>
        <v>0</v>
      </c>
      <c r="AN312" s="86"/>
      <c r="AO312" s="85"/>
      <c r="AP312" s="84">
        <f>AP23-AP47</f>
        <v>0</v>
      </c>
      <c r="AQ312" s="86"/>
      <c r="AR312" s="85"/>
      <c r="AS312" s="84">
        <f>AS23-AS47</f>
        <v>0</v>
      </c>
      <c r="AT312" s="86"/>
    </row>
    <row r="313" spans="3:46">
      <c r="D313" s="18" t="s">
        <v>11</v>
      </c>
      <c r="E313" s="18"/>
      <c r="F313" s="84">
        <f>F24-F48</f>
        <v>1495.3899999999999</v>
      </c>
      <c r="G313" s="20"/>
      <c r="J313" s="18" t="s">
        <v>11</v>
      </c>
      <c r="K313" s="85"/>
      <c r="L313" s="84">
        <f>L24-L48</f>
        <v>-176</v>
      </c>
      <c r="M313" s="86"/>
      <c r="N313" s="85"/>
      <c r="O313" s="84">
        <f>O24-O48</f>
        <v>69</v>
      </c>
      <c r="P313" s="86"/>
      <c r="Q313" s="85"/>
      <c r="R313" s="84">
        <f>R24-R48</f>
        <v>-89</v>
      </c>
      <c r="S313" s="86"/>
      <c r="T313" s="85"/>
      <c r="U313" s="84">
        <f>U24-U48</f>
        <v>-103</v>
      </c>
      <c r="V313" s="86"/>
      <c r="W313" s="85"/>
      <c r="X313" s="84">
        <f>X24-X48</f>
        <v>-208.24</v>
      </c>
      <c r="Y313" s="86"/>
      <c r="Z313" s="85"/>
      <c r="AA313" s="84">
        <f>AA24-AA48</f>
        <v>193.99</v>
      </c>
      <c r="AB313" s="86"/>
      <c r="AC313" s="85"/>
      <c r="AD313" s="84">
        <f>AD24-AD48</f>
        <v>457</v>
      </c>
      <c r="AE313" s="86"/>
      <c r="AF313" s="85"/>
      <c r="AG313" s="84">
        <f>AG24-AG48</f>
        <v>601.64</v>
      </c>
      <c r="AH313" s="86"/>
      <c r="AI313" s="84"/>
      <c r="AJ313" s="84">
        <f>AJ24-AJ48</f>
        <v>45</v>
      </c>
      <c r="AK313" s="84"/>
      <c r="AL313" s="85"/>
      <c r="AM313" s="84">
        <f>AM24-AM48</f>
        <v>51</v>
      </c>
      <c r="AN313" s="86"/>
      <c r="AO313" s="85"/>
      <c r="AP313" s="84">
        <f>AP24-AP48</f>
        <v>574</v>
      </c>
      <c r="AQ313" s="86"/>
      <c r="AR313" s="85"/>
      <c r="AS313" s="84">
        <f>AS24-AS48</f>
        <v>80</v>
      </c>
      <c r="AT313" s="86"/>
    </row>
    <row r="314" spans="3:46">
      <c r="D314" s="18" t="s">
        <v>12</v>
      </c>
      <c r="E314" s="18"/>
      <c r="F314" s="84">
        <f>F25-F49</f>
        <v>4511.1900000000005</v>
      </c>
      <c r="G314" s="20"/>
      <c r="J314" s="18" t="s">
        <v>12</v>
      </c>
      <c r="K314" s="85"/>
      <c r="L314" s="84">
        <f>L25-L49</f>
        <v>232</v>
      </c>
      <c r="M314" s="86"/>
      <c r="N314" s="85"/>
      <c r="O314" s="84">
        <f>O25-O49</f>
        <v>33.259999999999991</v>
      </c>
      <c r="P314" s="86"/>
      <c r="Q314" s="85"/>
      <c r="R314" s="84">
        <f>R25-R49</f>
        <v>270</v>
      </c>
      <c r="S314" s="86"/>
      <c r="T314" s="85"/>
      <c r="U314" s="84">
        <f>U25-U49</f>
        <v>-611.6099999999999</v>
      </c>
      <c r="V314" s="86"/>
      <c r="W314" s="85"/>
      <c r="X314" s="84">
        <f>X25-X49</f>
        <v>-36.909999999999968</v>
      </c>
      <c r="Y314" s="86"/>
      <c r="Z314" s="85"/>
      <c r="AA314" s="84">
        <f>AA25-AA49</f>
        <v>419</v>
      </c>
      <c r="AB314" s="86"/>
      <c r="AC314" s="85"/>
      <c r="AD314" s="84">
        <f>AD25-AD49</f>
        <v>940.68000000000006</v>
      </c>
      <c r="AE314" s="86"/>
      <c r="AF314" s="85"/>
      <c r="AG314" s="84">
        <f>AG25-AG49</f>
        <v>592.61</v>
      </c>
      <c r="AH314" s="86"/>
      <c r="AI314" s="84"/>
      <c r="AJ314" s="84">
        <f>AJ25-AJ49</f>
        <v>813.31999999999994</v>
      </c>
      <c r="AK314" s="84"/>
      <c r="AL314" s="85"/>
      <c r="AM314" s="84">
        <f>AM25-AM49</f>
        <v>579.84</v>
      </c>
      <c r="AN314" s="86"/>
      <c r="AO314" s="85"/>
      <c r="AP314" s="84">
        <f>AP25-AP49</f>
        <v>621</v>
      </c>
      <c r="AQ314" s="86"/>
      <c r="AR314" s="85"/>
      <c r="AS314" s="84">
        <f>AS25-AS49</f>
        <v>658</v>
      </c>
      <c r="AT314" s="86"/>
    </row>
    <row r="315" spans="3:46">
      <c r="D315" s="18" t="s">
        <v>13</v>
      </c>
      <c r="E315" s="18"/>
      <c r="F315" s="84">
        <f>F26-F50</f>
        <v>9456.6600000000017</v>
      </c>
      <c r="G315" s="20"/>
      <c r="J315" s="18" t="s">
        <v>13</v>
      </c>
      <c r="K315" s="85"/>
      <c r="L315" s="84">
        <f>L26-L50</f>
        <v>-1231.48</v>
      </c>
      <c r="M315" s="86"/>
      <c r="N315" s="85"/>
      <c r="O315" s="84">
        <f>O26-O50</f>
        <v>-301.13999999999987</v>
      </c>
      <c r="P315" s="86"/>
      <c r="Q315" s="85"/>
      <c r="R315" s="84">
        <f>R26-R50</f>
        <v>-321.59000000000015</v>
      </c>
      <c r="S315" s="86"/>
      <c r="T315" s="85"/>
      <c r="U315" s="84">
        <f>U26-U50</f>
        <v>439.86999999999989</v>
      </c>
      <c r="V315" s="86"/>
      <c r="W315" s="85"/>
      <c r="X315" s="84">
        <f>X26-X50</f>
        <v>1177.3</v>
      </c>
      <c r="Y315" s="86"/>
      <c r="Z315" s="85"/>
      <c r="AA315" s="84">
        <f>AA26-AA50</f>
        <v>726.98</v>
      </c>
      <c r="AB315" s="86"/>
      <c r="AC315" s="85"/>
      <c r="AD315" s="84">
        <f>AD26-AD50</f>
        <v>1046</v>
      </c>
      <c r="AE315" s="86"/>
      <c r="AF315" s="85"/>
      <c r="AG315" s="84">
        <f>AG26-AG50</f>
        <v>2228.34</v>
      </c>
      <c r="AH315" s="86"/>
      <c r="AI315" s="84"/>
      <c r="AJ315" s="84">
        <f>AJ26-AJ50</f>
        <v>2053.38</v>
      </c>
      <c r="AK315" s="84"/>
      <c r="AL315" s="85"/>
      <c r="AM315" s="84">
        <f>AM26-AM50</f>
        <v>1182</v>
      </c>
      <c r="AN315" s="86"/>
      <c r="AO315" s="85"/>
      <c r="AP315" s="84">
        <f>AP26-AP50</f>
        <v>1634</v>
      </c>
      <c r="AQ315" s="86"/>
      <c r="AR315" s="85"/>
      <c r="AS315" s="84">
        <f>AS26-AS50</f>
        <v>823</v>
      </c>
      <c r="AT315" s="86"/>
    </row>
    <row r="316" spans="3:46">
      <c r="D316" s="47" t="s">
        <v>14</v>
      </c>
      <c r="E316" s="18"/>
      <c r="F316" s="84">
        <f>F27-F51</f>
        <v>2240.6400000000003</v>
      </c>
      <c r="G316" s="20"/>
      <c r="J316" s="47" t="s">
        <v>14</v>
      </c>
      <c r="K316" s="85"/>
      <c r="L316" s="84">
        <f>L27-L51</f>
        <v>318.33999999999992</v>
      </c>
      <c r="M316" s="86"/>
      <c r="N316" s="85"/>
      <c r="O316" s="84">
        <f>O27-O51</f>
        <v>-132</v>
      </c>
      <c r="P316" s="86"/>
      <c r="Q316" s="85"/>
      <c r="R316" s="84">
        <f>R27-R51</f>
        <v>-759.81</v>
      </c>
      <c r="S316" s="86"/>
      <c r="T316" s="85"/>
      <c r="U316" s="84">
        <f>U27-U51</f>
        <v>-212.89</v>
      </c>
      <c r="V316" s="86"/>
      <c r="W316" s="85"/>
      <c r="X316" s="84">
        <f>X27-X51</f>
        <v>-180</v>
      </c>
      <c r="Y316" s="86"/>
      <c r="Z316" s="85"/>
      <c r="AA316" s="84">
        <f>AA27-AA51</f>
        <v>1613</v>
      </c>
      <c r="AB316" s="86"/>
      <c r="AC316" s="85"/>
      <c r="AD316" s="84">
        <f>AD27-AD51</f>
        <v>814</v>
      </c>
      <c r="AE316" s="86"/>
      <c r="AF316" s="85"/>
      <c r="AG316" s="84">
        <f>AG27-AG51</f>
        <v>348</v>
      </c>
      <c r="AH316" s="86"/>
      <c r="AI316" s="84"/>
      <c r="AJ316" s="84">
        <f>AJ27-AJ51</f>
        <v>77</v>
      </c>
      <c r="AK316" s="84"/>
      <c r="AL316" s="85"/>
      <c r="AM316" s="84">
        <f>AM27-AM51</f>
        <v>80</v>
      </c>
      <c r="AN316" s="86"/>
      <c r="AO316" s="85"/>
      <c r="AP316" s="84">
        <f>AP27-AP51</f>
        <v>75</v>
      </c>
      <c r="AQ316" s="86"/>
      <c r="AR316" s="85"/>
      <c r="AS316" s="84">
        <f>AS27-AS51</f>
        <v>200</v>
      </c>
      <c r="AT316" s="86"/>
    </row>
    <row r="317" spans="3:46">
      <c r="D317" s="18" t="s">
        <v>15</v>
      </c>
      <c r="E317" s="18"/>
      <c r="F317" s="84">
        <f>F28-F52</f>
        <v>1113.1599999999999</v>
      </c>
      <c r="G317" s="20"/>
      <c r="J317" s="18" t="s">
        <v>15</v>
      </c>
      <c r="K317" s="85"/>
      <c r="L317" s="84">
        <f>L28-L52</f>
        <v>167</v>
      </c>
      <c r="M317" s="86"/>
      <c r="N317" s="85"/>
      <c r="O317" s="84">
        <f>O28-O52</f>
        <v>-87.94</v>
      </c>
      <c r="P317" s="86"/>
      <c r="Q317" s="85"/>
      <c r="R317" s="84">
        <f>R28-R52</f>
        <v>42.269999999999982</v>
      </c>
      <c r="S317" s="86"/>
      <c r="T317" s="85"/>
      <c r="U317" s="84">
        <f>U28-U52</f>
        <v>30</v>
      </c>
      <c r="V317" s="86"/>
      <c r="W317" s="85"/>
      <c r="X317" s="84">
        <f>X28-X52</f>
        <v>-293</v>
      </c>
      <c r="Y317" s="86"/>
      <c r="Z317" s="85"/>
      <c r="AA317" s="84">
        <f>AA28-AA52</f>
        <v>178.82999999999998</v>
      </c>
      <c r="AB317" s="86"/>
      <c r="AC317" s="85"/>
      <c r="AD317" s="84">
        <f>AD28-AD52</f>
        <v>155</v>
      </c>
      <c r="AE317" s="86"/>
      <c r="AF317" s="85"/>
      <c r="AG317" s="84">
        <f>AG28-AG52</f>
        <v>201</v>
      </c>
      <c r="AH317" s="86"/>
      <c r="AI317" s="84"/>
      <c r="AJ317" s="84">
        <f>AJ28-AJ52</f>
        <v>230</v>
      </c>
      <c r="AK317" s="84"/>
      <c r="AL317" s="85"/>
      <c r="AM317" s="84">
        <f>AM28-AM52</f>
        <v>255</v>
      </c>
      <c r="AN317" s="86"/>
      <c r="AO317" s="85"/>
      <c r="AP317" s="84">
        <f>AP28-AP52</f>
        <v>100</v>
      </c>
      <c r="AQ317" s="86"/>
      <c r="AR317" s="85"/>
      <c r="AS317" s="84">
        <f>AS28-AS52</f>
        <v>135</v>
      </c>
      <c r="AT317" s="86"/>
    </row>
    <row r="318" spans="3:46">
      <c r="D318" s="18" t="s">
        <v>16</v>
      </c>
      <c r="E318" s="18"/>
      <c r="F318" s="84">
        <f>F29-F53</f>
        <v>729.15999999999985</v>
      </c>
      <c r="G318" s="20"/>
      <c r="J318" s="18" t="s">
        <v>16</v>
      </c>
      <c r="K318" s="85"/>
      <c r="L318" s="84">
        <f>L29-L53</f>
        <v>-157</v>
      </c>
      <c r="M318" s="86"/>
      <c r="N318" s="85"/>
      <c r="O318" s="84">
        <f>O29-O53</f>
        <v>-423</v>
      </c>
      <c r="P318" s="86"/>
      <c r="Q318" s="85"/>
      <c r="R318" s="84">
        <f>R29-R53</f>
        <v>-831</v>
      </c>
      <c r="S318" s="86"/>
      <c r="T318" s="85"/>
      <c r="U318" s="84">
        <f>U29-U53</f>
        <v>-496</v>
      </c>
      <c r="V318" s="86"/>
      <c r="W318" s="85"/>
      <c r="X318" s="84">
        <f>X29-X53</f>
        <v>-190.84000000000003</v>
      </c>
      <c r="Y318" s="86"/>
      <c r="Z318" s="85"/>
      <c r="AA318" s="84">
        <f>AA29-AA53</f>
        <v>528</v>
      </c>
      <c r="AB318" s="86"/>
      <c r="AC318" s="85"/>
      <c r="AD318" s="84">
        <f>AD29-AD53</f>
        <v>120</v>
      </c>
      <c r="AE318" s="86"/>
      <c r="AF318" s="85"/>
      <c r="AG318" s="84">
        <f>AG29-AG53</f>
        <v>608</v>
      </c>
      <c r="AH318" s="86"/>
      <c r="AI318" s="84"/>
      <c r="AJ318" s="84">
        <f>AJ29-AJ53</f>
        <v>-132</v>
      </c>
      <c r="AK318" s="84"/>
      <c r="AL318" s="85"/>
      <c r="AM318" s="84">
        <f>AM29-AM53</f>
        <v>723</v>
      </c>
      <c r="AN318" s="86"/>
      <c r="AO318" s="85"/>
      <c r="AP318" s="84">
        <f>AP29-AP53</f>
        <v>520</v>
      </c>
      <c r="AQ318" s="86"/>
      <c r="AR318" s="85"/>
      <c r="AS318" s="84">
        <f>AS29-AS53</f>
        <v>460</v>
      </c>
      <c r="AT318" s="86"/>
    </row>
    <row r="319" spans="3:46">
      <c r="D319" s="18" t="s">
        <v>17</v>
      </c>
      <c r="E319" s="18"/>
      <c r="F319" s="84">
        <f>F30-F54</f>
        <v>8558</v>
      </c>
      <c r="G319" s="20"/>
      <c r="J319" s="18" t="s">
        <v>17</v>
      </c>
      <c r="K319" s="85"/>
      <c r="L319" s="84">
        <f>L30-L54</f>
        <v>953.44</v>
      </c>
      <c r="M319" s="86"/>
      <c r="N319" s="85"/>
      <c r="O319" s="84">
        <f>O30-O54</f>
        <v>222.86</v>
      </c>
      <c r="P319" s="86"/>
      <c r="Q319" s="85"/>
      <c r="R319" s="84">
        <f>R30-R54</f>
        <v>712</v>
      </c>
      <c r="S319" s="86"/>
      <c r="T319" s="85"/>
      <c r="U319" s="84">
        <f>U30-U54</f>
        <v>203.36</v>
      </c>
      <c r="V319" s="86"/>
      <c r="W319" s="85"/>
      <c r="X319" s="84">
        <f>X30-X54</f>
        <v>-670.31</v>
      </c>
      <c r="Y319" s="86"/>
      <c r="Z319" s="85"/>
      <c r="AA319" s="84">
        <f>AA30-AA54</f>
        <v>856.05</v>
      </c>
      <c r="AB319" s="86"/>
      <c r="AC319" s="85"/>
      <c r="AD319" s="84">
        <f>AD30-AD54</f>
        <v>1135</v>
      </c>
      <c r="AE319" s="86"/>
      <c r="AF319" s="85"/>
      <c r="AG319" s="84">
        <f>AG30-AG54</f>
        <v>526</v>
      </c>
      <c r="AH319" s="86"/>
      <c r="AI319" s="84"/>
      <c r="AJ319" s="84">
        <f>AJ30-AJ54</f>
        <v>1074</v>
      </c>
      <c r="AK319" s="84"/>
      <c r="AL319" s="85"/>
      <c r="AM319" s="84">
        <f>AM30-AM54</f>
        <v>856</v>
      </c>
      <c r="AN319" s="86"/>
      <c r="AO319" s="85"/>
      <c r="AP319" s="84">
        <f>AP30-AP54</f>
        <v>1144.5999999999999</v>
      </c>
      <c r="AQ319" s="86"/>
      <c r="AR319" s="85"/>
      <c r="AS319" s="84">
        <f>AS30-AS54</f>
        <v>1545</v>
      </c>
      <c r="AT319" s="86"/>
    </row>
    <row r="320" spans="3:46">
      <c r="D320" s="18" t="s">
        <v>18</v>
      </c>
      <c r="E320" s="18"/>
      <c r="F320" s="84">
        <f>F31-F55</f>
        <v>1499</v>
      </c>
      <c r="G320" s="20"/>
      <c r="J320" s="18" t="s">
        <v>18</v>
      </c>
      <c r="K320" s="85"/>
      <c r="L320" s="84">
        <f>L31-L55</f>
        <v>270</v>
      </c>
      <c r="M320" s="86"/>
      <c r="N320" s="85"/>
      <c r="O320" s="84">
        <f>O31-O55</f>
        <v>300</v>
      </c>
      <c r="P320" s="86"/>
      <c r="Q320" s="85"/>
      <c r="R320" s="84">
        <f>R31-R55</f>
        <v>269</v>
      </c>
      <c r="S320" s="86"/>
      <c r="T320" s="85"/>
      <c r="U320" s="84">
        <f>U31-U55</f>
        <v>80</v>
      </c>
      <c r="V320" s="86"/>
      <c r="W320" s="85"/>
      <c r="X320" s="84">
        <f>X31-X55</f>
        <v>-89</v>
      </c>
      <c r="Y320" s="86"/>
      <c r="Z320" s="85"/>
      <c r="AA320" s="84">
        <f>AA31-AA55</f>
        <v>168</v>
      </c>
      <c r="AB320" s="86"/>
      <c r="AC320" s="85"/>
      <c r="AD320" s="84">
        <f>AD31-AD55</f>
        <v>160</v>
      </c>
      <c r="AE320" s="86"/>
      <c r="AF320" s="85"/>
      <c r="AG320" s="84">
        <f>AG31-AG55</f>
        <v>160</v>
      </c>
      <c r="AH320" s="86"/>
      <c r="AI320" s="84"/>
      <c r="AJ320" s="84">
        <f>AJ31-AJ55</f>
        <v>0</v>
      </c>
      <c r="AK320" s="84"/>
      <c r="AL320" s="85"/>
      <c r="AM320" s="84">
        <f>AM31-AM55</f>
        <v>0</v>
      </c>
      <c r="AN320" s="86"/>
      <c r="AO320" s="85"/>
      <c r="AP320" s="84">
        <f>AP31-AP55</f>
        <v>181</v>
      </c>
      <c r="AQ320" s="86"/>
      <c r="AR320" s="85"/>
      <c r="AS320" s="84">
        <f>AS31-AS55</f>
        <v>0</v>
      </c>
      <c r="AT320" s="86"/>
    </row>
    <row r="321" spans="4:46">
      <c r="D321" s="18" t="s">
        <v>19</v>
      </c>
      <c r="E321" s="18"/>
      <c r="F321" s="84">
        <f>F32-F56</f>
        <v>0</v>
      </c>
      <c r="G321" s="20"/>
      <c r="J321" s="18" t="s">
        <v>19</v>
      </c>
      <c r="K321" s="85"/>
      <c r="L321" s="84">
        <f>L32-L56</f>
        <v>0</v>
      </c>
      <c r="M321" s="86"/>
      <c r="N321" s="85"/>
      <c r="O321" s="84">
        <f>O32-O56</f>
        <v>0</v>
      </c>
      <c r="P321" s="86"/>
      <c r="Q321" s="85"/>
      <c r="R321" s="84">
        <f>R32-R56</f>
        <v>0</v>
      </c>
      <c r="S321" s="86"/>
      <c r="T321" s="85"/>
      <c r="U321" s="84">
        <f>U32-U56</f>
        <v>0</v>
      </c>
      <c r="V321" s="86"/>
      <c r="W321" s="85"/>
      <c r="X321" s="84">
        <f>X32-X56</f>
        <v>0</v>
      </c>
      <c r="Y321" s="86"/>
      <c r="Z321" s="85"/>
      <c r="AA321" s="84">
        <f>AA32-AA56</f>
        <v>0</v>
      </c>
      <c r="AB321" s="86"/>
      <c r="AC321" s="85"/>
      <c r="AD321" s="84">
        <f>AD32-AD56</f>
        <v>0</v>
      </c>
      <c r="AE321" s="86"/>
      <c r="AF321" s="85"/>
      <c r="AG321" s="84">
        <f>AG32-AG56</f>
        <v>0</v>
      </c>
      <c r="AH321" s="86"/>
      <c r="AI321" s="84"/>
      <c r="AJ321" s="84">
        <f>AJ32-AJ56</f>
        <v>0</v>
      </c>
      <c r="AK321" s="84"/>
      <c r="AL321" s="85"/>
      <c r="AM321" s="84">
        <f>AM32-AM56</f>
        <v>0</v>
      </c>
      <c r="AN321" s="86"/>
      <c r="AO321" s="85"/>
      <c r="AP321" s="84">
        <f>AP32-AP56</f>
        <v>0</v>
      </c>
      <c r="AQ321" s="86"/>
      <c r="AR321" s="85"/>
      <c r="AS321" s="84">
        <f>AS32-AS56</f>
        <v>0</v>
      </c>
      <c r="AT321" s="86"/>
    </row>
    <row r="322" spans="4:46">
      <c r="D322" s="18" t="s">
        <v>20</v>
      </c>
      <c r="E322" s="18"/>
      <c r="F322" s="84">
        <f>F33-F57</f>
        <v>5986.3799999999992</v>
      </c>
      <c r="G322" s="20"/>
      <c r="J322" s="18" t="s">
        <v>20</v>
      </c>
      <c r="K322" s="85"/>
      <c r="L322" s="84">
        <f>L33-L57</f>
        <v>1431</v>
      </c>
      <c r="M322" s="86"/>
      <c r="N322" s="85"/>
      <c r="O322" s="84">
        <f>O33-O57</f>
        <v>-131</v>
      </c>
      <c r="P322" s="86"/>
      <c r="Q322" s="85"/>
      <c r="R322" s="84">
        <f>R33-R57</f>
        <v>471.78999999999996</v>
      </c>
      <c r="S322" s="86"/>
      <c r="T322" s="85"/>
      <c r="U322" s="84">
        <f>U33-U57</f>
        <v>-906</v>
      </c>
      <c r="V322" s="86"/>
      <c r="W322" s="85"/>
      <c r="X322" s="84">
        <f>X33-X57</f>
        <v>287</v>
      </c>
      <c r="Y322" s="86"/>
      <c r="Z322" s="85"/>
      <c r="AA322" s="84">
        <f>AA33-AA57</f>
        <v>119</v>
      </c>
      <c r="AB322" s="86"/>
      <c r="AC322" s="85"/>
      <c r="AD322" s="84">
        <f>AD33-AD57</f>
        <v>612</v>
      </c>
      <c r="AE322" s="86"/>
      <c r="AF322" s="85"/>
      <c r="AG322" s="84">
        <f>AG33-AG57</f>
        <v>564.19000000000005</v>
      </c>
      <c r="AH322" s="86"/>
      <c r="AI322" s="84"/>
      <c r="AJ322" s="84">
        <f>AJ33-AJ57</f>
        <v>599</v>
      </c>
      <c r="AK322" s="84"/>
      <c r="AL322" s="85"/>
      <c r="AM322" s="84">
        <f>AM33-AM57</f>
        <v>967</v>
      </c>
      <c r="AN322" s="86"/>
      <c r="AO322" s="85"/>
      <c r="AP322" s="84">
        <f>AP33-AP57</f>
        <v>524.4</v>
      </c>
      <c r="AQ322" s="86"/>
      <c r="AR322" s="85"/>
      <c r="AS322" s="84">
        <f>AS33-AS57</f>
        <v>1448</v>
      </c>
      <c r="AT322" s="86"/>
    </row>
    <row r="323" spans="4:46">
      <c r="D323" s="18" t="s">
        <v>21</v>
      </c>
      <c r="E323" s="18"/>
      <c r="F323" s="84">
        <f>F34-F58</f>
        <v>3454.46</v>
      </c>
      <c r="G323" s="20"/>
      <c r="J323" s="18" t="s">
        <v>21</v>
      </c>
      <c r="K323" s="85"/>
      <c r="L323" s="84">
        <f>L34-L58</f>
        <v>-559</v>
      </c>
      <c r="M323" s="86"/>
      <c r="N323" s="85"/>
      <c r="O323" s="84">
        <f>O34-O58</f>
        <v>61</v>
      </c>
      <c r="P323" s="86"/>
      <c r="Q323" s="85"/>
      <c r="R323" s="84">
        <f>R34-R58</f>
        <v>-217</v>
      </c>
      <c r="S323" s="86"/>
      <c r="T323" s="85"/>
      <c r="U323" s="84">
        <f>U34-U58</f>
        <v>-253.26999999999998</v>
      </c>
      <c r="V323" s="86"/>
      <c r="W323" s="85"/>
      <c r="X323" s="84">
        <f>X34-X58</f>
        <v>-402.27</v>
      </c>
      <c r="Y323" s="86"/>
      <c r="Z323" s="85"/>
      <c r="AA323" s="84">
        <f>AA34-AA58</f>
        <v>151</v>
      </c>
      <c r="AB323" s="86"/>
      <c r="AC323" s="85"/>
      <c r="AD323" s="84">
        <f>AD34-AD58</f>
        <v>607</v>
      </c>
      <c r="AE323" s="86"/>
      <c r="AF323" s="85"/>
      <c r="AG323" s="84">
        <f>AG34-AG58</f>
        <v>1084</v>
      </c>
      <c r="AH323" s="86"/>
      <c r="AI323" s="84"/>
      <c r="AJ323" s="84">
        <f>AJ34-AJ58</f>
        <v>452</v>
      </c>
      <c r="AK323" s="84"/>
      <c r="AL323" s="85"/>
      <c r="AM323" s="84">
        <f>AM34-AM58</f>
        <v>813</v>
      </c>
      <c r="AN323" s="86"/>
      <c r="AO323" s="85"/>
      <c r="AP323" s="84">
        <f>AP34-AP58</f>
        <v>1169</v>
      </c>
      <c r="AQ323" s="86"/>
      <c r="AR323" s="85"/>
      <c r="AS323" s="84">
        <f>AS34-AS58</f>
        <v>549</v>
      </c>
      <c r="AT323" s="86"/>
    </row>
    <row r="324" spans="4:46">
      <c r="D324" s="18" t="s">
        <v>22</v>
      </c>
      <c r="E324" s="18"/>
      <c r="F324" s="84">
        <f>F35-F59</f>
        <v>23469</v>
      </c>
      <c r="G324" s="20"/>
      <c r="J324" s="18" t="s">
        <v>22</v>
      </c>
      <c r="K324" s="85"/>
      <c r="L324" s="84">
        <f>L35-L59</f>
        <v>-99</v>
      </c>
      <c r="M324" s="86"/>
      <c r="N324" s="85"/>
      <c r="O324" s="84">
        <f>O35-O59</f>
        <v>-103</v>
      </c>
      <c r="P324" s="86"/>
      <c r="Q324" s="85"/>
      <c r="R324" s="84">
        <f>R35-R59</f>
        <v>-103</v>
      </c>
      <c r="S324" s="86"/>
      <c r="T324" s="85"/>
      <c r="U324" s="84">
        <f>U35-U59</f>
        <v>-583</v>
      </c>
      <c r="V324" s="86"/>
      <c r="W324" s="85"/>
      <c r="X324" s="84">
        <f>X35-X59</f>
        <v>-103</v>
      </c>
      <c r="Y324" s="86"/>
      <c r="Z324" s="85"/>
      <c r="AA324" s="84">
        <f>AA35-AA59</f>
        <v>-103</v>
      </c>
      <c r="AB324" s="86"/>
      <c r="AC324" s="85"/>
      <c r="AD324" s="84">
        <f>AD35-AD59</f>
        <v>4135</v>
      </c>
      <c r="AE324" s="86"/>
      <c r="AF324" s="85"/>
      <c r="AG324" s="84">
        <f>AG35-AG59</f>
        <v>4135</v>
      </c>
      <c r="AH324" s="86"/>
      <c r="AI324" s="84"/>
      <c r="AJ324" s="84">
        <f>AJ35-AJ59</f>
        <v>3985</v>
      </c>
      <c r="AK324" s="84"/>
      <c r="AL324" s="85"/>
      <c r="AM324" s="84">
        <f>AM35-AM59</f>
        <v>4085</v>
      </c>
      <c r="AN324" s="86"/>
      <c r="AO324" s="85"/>
      <c r="AP324" s="84">
        <f>AP35-AP59</f>
        <v>4085</v>
      </c>
      <c r="AQ324" s="86"/>
      <c r="AR324" s="85"/>
      <c r="AS324" s="84">
        <f>AS35-AS59</f>
        <v>4138</v>
      </c>
      <c r="AT324" s="86"/>
    </row>
    <row r="325" spans="4:46">
      <c r="D325" s="18" t="s">
        <v>23</v>
      </c>
      <c r="E325" s="18"/>
      <c r="F325" s="84">
        <f>F36-F60</f>
        <v>-1073.6999999999998</v>
      </c>
      <c r="G325" s="20"/>
      <c r="J325" s="18" t="s">
        <v>23</v>
      </c>
      <c r="K325" s="85"/>
      <c r="L325" s="84">
        <f>L36-L60</f>
        <v>0</v>
      </c>
      <c r="M325" s="86"/>
      <c r="N325" s="85"/>
      <c r="O325" s="84">
        <f>O36-O60</f>
        <v>-1318</v>
      </c>
      <c r="P325" s="86"/>
      <c r="Q325" s="85"/>
      <c r="R325" s="84">
        <f>R36-R60</f>
        <v>-952.95</v>
      </c>
      <c r="S325" s="86"/>
      <c r="T325" s="85"/>
      <c r="U325" s="84">
        <f>U36-U60</f>
        <v>-1508</v>
      </c>
      <c r="V325" s="86"/>
      <c r="W325" s="85"/>
      <c r="X325" s="84">
        <f>X36-X60</f>
        <v>370.25</v>
      </c>
      <c r="Y325" s="86"/>
      <c r="Z325" s="85"/>
      <c r="AA325" s="84">
        <f>AA36-AA60</f>
        <v>265</v>
      </c>
      <c r="AB325" s="86"/>
      <c r="AC325" s="85"/>
      <c r="AD325" s="84">
        <f>AD36-AD60</f>
        <v>60</v>
      </c>
      <c r="AE325" s="86"/>
      <c r="AF325" s="85"/>
      <c r="AG325" s="84">
        <f>AG36-AG60</f>
        <v>1079</v>
      </c>
      <c r="AH325" s="86"/>
      <c r="AI325" s="84"/>
      <c r="AJ325" s="84">
        <f>AJ36-AJ60</f>
        <v>531</v>
      </c>
      <c r="AK325" s="84"/>
      <c r="AL325" s="85"/>
      <c r="AM325" s="84">
        <f>AM36-AM60</f>
        <v>400</v>
      </c>
      <c r="AN325" s="86"/>
      <c r="AO325" s="85"/>
      <c r="AP325" s="84">
        <f>AP36-AP60</f>
        <v>0</v>
      </c>
      <c r="AQ325" s="86"/>
      <c r="AR325" s="85"/>
      <c r="AS325" s="84">
        <f>AS36-AS60</f>
        <v>0</v>
      </c>
      <c r="AT325" s="86"/>
    </row>
    <row r="326" spans="4:46">
      <c r="D326" s="18" t="s">
        <v>24</v>
      </c>
      <c r="E326" s="18"/>
      <c r="F326" s="84">
        <f>F37-F61</f>
        <v>6071</v>
      </c>
      <c r="G326" s="20"/>
      <c r="J326" s="18" t="s">
        <v>24</v>
      </c>
      <c r="K326" s="85"/>
      <c r="L326" s="84">
        <f>L37-L61</f>
        <v>226</v>
      </c>
      <c r="M326" s="86"/>
      <c r="N326" s="85"/>
      <c r="O326" s="84">
        <f>O37-O61</f>
        <v>-70</v>
      </c>
      <c r="P326" s="86"/>
      <c r="Q326" s="85"/>
      <c r="R326" s="84">
        <f>R37-R61</f>
        <v>-300</v>
      </c>
      <c r="S326" s="86"/>
      <c r="T326" s="85"/>
      <c r="U326" s="84">
        <f>U37-U61</f>
        <v>-250</v>
      </c>
      <c r="V326" s="86"/>
      <c r="W326" s="85"/>
      <c r="X326" s="84">
        <f>X37-X61</f>
        <v>-645</v>
      </c>
      <c r="Y326" s="86"/>
      <c r="Z326" s="85"/>
      <c r="AA326" s="84">
        <f>AA37-AA61</f>
        <v>650</v>
      </c>
      <c r="AB326" s="86"/>
      <c r="AC326" s="85"/>
      <c r="AD326" s="84">
        <f>AD37-AD61</f>
        <v>200</v>
      </c>
      <c r="AE326" s="86"/>
      <c r="AF326" s="85"/>
      <c r="AG326" s="84">
        <f>AG37-AG61</f>
        <v>405</v>
      </c>
      <c r="AH326" s="86"/>
      <c r="AI326" s="84"/>
      <c r="AJ326" s="84">
        <f>AJ37-AJ61</f>
        <v>1030</v>
      </c>
      <c r="AK326" s="84"/>
      <c r="AL326" s="85"/>
      <c r="AM326" s="84">
        <f>AM37-AM61</f>
        <v>200</v>
      </c>
      <c r="AN326" s="86"/>
      <c r="AO326" s="85"/>
      <c r="AP326" s="84">
        <f>AP37-AP61</f>
        <v>425</v>
      </c>
      <c r="AQ326" s="86"/>
      <c r="AR326" s="85"/>
      <c r="AS326" s="84">
        <f>AS37-AS61</f>
        <v>4200</v>
      </c>
      <c r="AT326" s="86"/>
    </row>
    <row r="327" spans="4:46">
      <c r="D327" s="18" t="s">
        <v>25</v>
      </c>
      <c r="E327" s="18"/>
      <c r="F327" s="84">
        <f>F38-F62</f>
        <v>1492</v>
      </c>
      <c r="G327" s="20"/>
      <c r="J327" s="18" t="s">
        <v>25</v>
      </c>
      <c r="K327" s="85"/>
      <c r="L327" s="84">
        <f>L38-L62</f>
        <v>360</v>
      </c>
      <c r="M327" s="86"/>
      <c r="N327" s="85"/>
      <c r="O327" s="84">
        <f>O38-O62</f>
        <v>265</v>
      </c>
      <c r="P327" s="86"/>
      <c r="Q327" s="85"/>
      <c r="R327" s="84">
        <f>R38-R62</f>
        <v>130</v>
      </c>
      <c r="S327" s="86"/>
      <c r="T327" s="85"/>
      <c r="U327" s="84">
        <f>U38-U62</f>
        <v>-695</v>
      </c>
      <c r="V327" s="86"/>
      <c r="W327" s="85"/>
      <c r="X327" s="84">
        <f>X38-X62</f>
        <v>0</v>
      </c>
      <c r="Y327" s="86"/>
      <c r="Z327" s="85"/>
      <c r="AA327" s="84">
        <f>AA38-AA62</f>
        <v>0</v>
      </c>
      <c r="AB327" s="86"/>
      <c r="AC327" s="85"/>
      <c r="AD327" s="84">
        <f>AD38-AD62</f>
        <v>0</v>
      </c>
      <c r="AE327" s="86"/>
      <c r="AF327" s="85"/>
      <c r="AG327" s="84">
        <f>AG38-AG62</f>
        <v>294</v>
      </c>
      <c r="AH327" s="86"/>
      <c r="AI327" s="84"/>
      <c r="AJ327" s="84">
        <f>AJ38-AJ62</f>
        <v>290</v>
      </c>
      <c r="AK327" s="84"/>
      <c r="AL327" s="85"/>
      <c r="AM327" s="84">
        <f>AM38-AM62</f>
        <v>738</v>
      </c>
      <c r="AN327" s="86"/>
      <c r="AO327" s="85"/>
      <c r="AP327" s="84">
        <f>AP38-AP62</f>
        <v>110</v>
      </c>
      <c r="AQ327" s="86"/>
      <c r="AR327" s="85"/>
      <c r="AS327" s="84">
        <f>AS38-AS62</f>
        <v>0</v>
      </c>
      <c r="AT327" s="86"/>
    </row>
    <row r="328" spans="4:46">
      <c r="D328" s="18" t="s">
        <v>26</v>
      </c>
      <c r="E328" s="18"/>
      <c r="F328" s="84">
        <f>F39-F63</f>
        <v>2471.8000000000002</v>
      </c>
      <c r="G328" s="20"/>
      <c r="J328" s="18" t="s">
        <v>26</v>
      </c>
      <c r="K328" s="85"/>
      <c r="L328" s="84">
        <f>L39-L63</f>
        <v>-210</v>
      </c>
      <c r="M328" s="86"/>
      <c r="N328" s="85"/>
      <c r="O328" s="84">
        <f>O39-O63</f>
        <v>523.1</v>
      </c>
      <c r="P328" s="86"/>
      <c r="Q328" s="85"/>
      <c r="R328" s="84">
        <f>R39-R63</f>
        <v>-24</v>
      </c>
      <c r="S328" s="86"/>
      <c r="T328" s="85"/>
      <c r="U328" s="84">
        <f>U39-U63</f>
        <v>157</v>
      </c>
      <c r="V328" s="86"/>
      <c r="W328" s="85"/>
      <c r="X328" s="84">
        <f>X39-X63</f>
        <v>-183.3</v>
      </c>
      <c r="Y328" s="86"/>
      <c r="Z328" s="85"/>
      <c r="AA328" s="84">
        <f>AA39-AA63</f>
        <v>290</v>
      </c>
      <c r="AB328" s="86"/>
      <c r="AC328" s="85"/>
      <c r="AD328" s="84">
        <f>AD39-AD63</f>
        <v>426</v>
      </c>
      <c r="AE328" s="86"/>
      <c r="AF328" s="85"/>
      <c r="AG328" s="84">
        <f>AG39-AG63</f>
        <v>136</v>
      </c>
      <c r="AH328" s="86"/>
      <c r="AI328" s="84"/>
      <c r="AJ328" s="84">
        <f>AJ39-AJ63</f>
        <v>371</v>
      </c>
      <c r="AK328" s="84"/>
      <c r="AL328" s="85"/>
      <c r="AM328" s="84">
        <f>AM39-AM63</f>
        <v>220</v>
      </c>
      <c r="AN328" s="86"/>
      <c r="AO328" s="85"/>
      <c r="AP328" s="84">
        <f>AP39-AP63</f>
        <v>691</v>
      </c>
      <c r="AQ328" s="86"/>
      <c r="AR328" s="85"/>
      <c r="AS328" s="84">
        <f>AS39-AS63</f>
        <v>75</v>
      </c>
      <c r="AT328" s="86"/>
    </row>
    <row r="329" spans="4:46">
      <c r="D329" s="18" t="s">
        <v>27</v>
      </c>
      <c r="E329" s="18"/>
      <c r="F329" s="84">
        <f>F40-F64</f>
        <v>-8645</v>
      </c>
      <c r="G329" s="20"/>
      <c r="J329" s="18" t="s">
        <v>27</v>
      </c>
      <c r="K329" s="85"/>
      <c r="L329" s="84">
        <f>L40-L64</f>
        <v>-261</v>
      </c>
      <c r="M329" s="86"/>
      <c r="N329" s="85"/>
      <c r="O329" s="84">
        <f>O40-O64</f>
        <v>-260</v>
      </c>
      <c r="P329" s="86"/>
      <c r="Q329" s="85"/>
      <c r="R329" s="84">
        <f>R40-R64</f>
        <v>-880</v>
      </c>
      <c r="S329" s="86"/>
      <c r="T329" s="85"/>
      <c r="U329" s="84">
        <f>U40-U64</f>
        <v>-9806</v>
      </c>
      <c r="V329" s="86"/>
      <c r="W329" s="85"/>
      <c r="X329" s="84">
        <f>X40-X64</f>
        <v>-65</v>
      </c>
      <c r="Y329" s="86"/>
      <c r="Z329" s="85"/>
      <c r="AA329" s="84">
        <f>AA40-AA64</f>
        <v>203</v>
      </c>
      <c r="AB329" s="86"/>
      <c r="AC329" s="85"/>
      <c r="AD329" s="84">
        <f>AD40-AD64</f>
        <v>242</v>
      </c>
      <c r="AE329" s="86"/>
      <c r="AF329" s="85"/>
      <c r="AG329" s="84">
        <f>AG40-AG64</f>
        <v>1034</v>
      </c>
      <c r="AH329" s="86"/>
      <c r="AI329" s="84"/>
      <c r="AJ329" s="84">
        <f>AJ40-AJ64</f>
        <v>1148</v>
      </c>
      <c r="AK329" s="84"/>
      <c r="AL329" s="85"/>
      <c r="AM329" s="84">
        <f>AM40-AM64</f>
        <v>0</v>
      </c>
      <c r="AN329" s="86"/>
      <c r="AO329" s="85"/>
      <c r="AP329" s="84">
        <f>AP40-AP64</f>
        <v>0</v>
      </c>
      <c r="AQ329" s="86"/>
      <c r="AR329" s="85"/>
      <c r="AS329" s="84">
        <f>AS40-AS64</f>
        <v>0</v>
      </c>
      <c r="AT329" s="86"/>
    </row>
    <row r="330" spans="4:46" ht="13.5" thickBot="1">
      <c r="D330" s="30" t="s">
        <v>28</v>
      </c>
      <c r="E330" s="30"/>
      <c r="F330" s="87">
        <f>F41-F65</f>
        <v>2645</v>
      </c>
      <c r="G330" s="49"/>
      <c r="J330" s="30" t="s">
        <v>28</v>
      </c>
      <c r="K330" s="89"/>
      <c r="L330" s="87">
        <f>L41-L65</f>
        <v>-880</v>
      </c>
      <c r="M330" s="90"/>
      <c r="N330" s="89"/>
      <c r="O330" s="87">
        <f>O41-O65</f>
        <v>-880</v>
      </c>
      <c r="P330" s="90"/>
      <c r="Q330" s="89"/>
      <c r="R330" s="87">
        <f>R41-R65</f>
        <v>-880</v>
      </c>
      <c r="S330" s="90"/>
      <c r="T330" s="89"/>
      <c r="U330" s="87">
        <f>U41-U65</f>
        <v>126</v>
      </c>
      <c r="V330" s="90"/>
      <c r="W330" s="89"/>
      <c r="X330" s="87">
        <f>X41-X65</f>
        <v>-465</v>
      </c>
      <c r="Y330" s="90"/>
      <c r="Z330" s="89"/>
      <c r="AA330" s="87">
        <f>AA41-AA65</f>
        <v>744</v>
      </c>
      <c r="AB330" s="90"/>
      <c r="AC330" s="89"/>
      <c r="AD330" s="87">
        <f>AD41-AD65</f>
        <v>780</v>
      </c>
      <c r="AE330" s="90"/>
      <c r="AF330" s="89"/>
      <c r="AG330" s="87">
        <f>AG41-AG65</f>
        <v>780</v>
      </c>
      <c r="AH330" s="90"/>
      <c r="AI330" s="87"/>
      <c r="AJ330" s="87">
        <f>AJ41-AJ65</f>
        <v>780</v>
      </c>
      <c r="AK330" s="87"/>
      <c r="AL330" s="89"/>
      <c r="AM330" s="87">
        <f>AM41-AM65</f>
        <v>780</v>
      </c>
      <c r="AN330" s="90"/>
      <c r="AO330" s="89"/>
      <c r="AP330" s="87">
        <f>AP41-AP65</f>
        <v>880</v>
      </c>
      <c r="AQ330" s="90"/>
      <c r="AR330" s="89"/>
      <c r="AS330" s="87">
        <f>AS41-AS65</f>
        <v>880</v>
      </c>
      <c r="AT330" s="90"/>
    </row>
    <row r="331" spans="4:46" ht="13.5" thickBot="1">
      <c r="D331" s="72" t="s">
        <v>29</v>
      </c>
      <c r="E331" s="91"/>
      <c r="F331" s="74">
        <f>SUM(F310:F330)</f>
        <v>70837.52</v>
      </c>
      <c r="G331" s="92"/>
      <c r="J331" s="75" t="s">
        <v>29</v>
      </c>
      <c r="K331" s="48"/>
      <c r="L331" s="76">
        <f>SUM(L310:L330)</f>
        <v>530.79999999999995</v>
      </c>
      <c r="M331" s="48"/>
      <c r="N331" s="48"/>
      <c r="O331" s="76">
        <f>SUM(O310:O330)</f>
        <v>-2037.4099999999999</v>
      </c>
      <c r="P331" s="48"/>
      <c r="Q331" s="48"/>
      <c r="R331" s="76">
        <f>SUM(R310:R330)</f>
        <v>-3484.6400000000003</v>
      </c>
      <c r="S331" s="48"/>
      <c r="T331" s="48"/>
      <c r="U331" s="76">
        <f>SUM(U310:U330)</f>
        <v>-14467.89</v>
      </c>
      <c r="V331" s="48"/>
      <c r="W331" s="48"/>
      <c r="X331" s="76">
        <f>SUM(X310:X330)</f>
        <v>-1629.51</v>
      </c>
      <c r="Y331" s="48"/>
      <c r="Z331" s="48"/>
      <c r="AA331" s="76">
        <f>SUM(AA310:AA330)</f>
        <v>7504.31</v>
      </c>
      <c r="AB331" s="48"/>
      <c r="AC331" s="48"/>
      <c r="AD331" s="76">
        <f>SUM(AD310:AD330)</f>
        <v>12592.14</v>
      </c>
      <c r="AE331" s="48"/>
      <c r="AF331" s="48"/>
      <c r="AG331" s="76">
        <f>SUM(AG310:AG330)</f>
        <v>15387.230000000001</v>
      </c>
      <c r="AH331" s="48"/>
      <c r="AI331" s="48"/>
      <c r="AJ331" s="76">
        <f>SUM(AJ310:AJ330)</f>
        <v>14157.7</v>
      </c>
      <c r="AK331" s="48"/>
      <c r="AL331" s="48"/>
      <c r="AM331" s="76">
        <f>SUM(AM310:AM330)</f>
        <v>13006.79</v>
      </c>
      <c r="AN331" s="48"/>
      <c r="AO331" s="48"/>
      <c r="AP331" s="76">
        <f>SUM(AP310:AP330)</f>
        <v>13529</v>
      </c>
      <c r="AQ331" s="48"/>
      <c r="AR331" s="48"/>
      <c r="AS331" s="76">
        <f>SUM(AS310:AS330)</f>
        <v>15749</v>
      </c>
      <c r="AT331" s="49"/>
    </row>
  </sheetData>
  <mergeCells count="183">
    <mergeCell ref="AI43:AK43"/>
    <mergeCell ref="AL43:AN43"/>
    <mergeCell ref="AO43:AQ43"/>
    <mergeCell ref="AR43:AT43"/>
    <mergeCell ref="E43:G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O91:AQ91"/>
    <mergeCell ref="AR91:AT91"/>
    <mergeCell ref="E115:G115"/>
    <mergeCell ref="K115:M115"/>
    <mergeCell ref="N115:P115"/>
    <mergeCell ref="Q115:S115"/>
    <mergeCell ref="T115:V115"/>
    <mergeCell ref="W226:Y226"/>
    <mergeCell ref="W205:Y205"/>
    <mergeCell ref="W183:Y183"/>
    <mergeCell ref="W161:Y161"/>
    <mergeCell ref="W115:Y115"/>
    <mergeCell ref="Z115:AB115"/>
    <mergeCell ref="AC115:AE115"/>
    <mergeCell ref="AF115:AH115"/>
    <mergeCell ref="AI115:AK115"/>
    <mergeCell ref="AI138:AK138"/>
    <mergeCell ref="AI205:AK205"/>
    <mergeCell ref="Z205:AB205"/>
    <mergeCell ref="AC205:AE205"/>
    <mergeCell ref="AF205:AH205"/>
    <mergeCell ref="E138:G138"/>
    <mergeCell ref="K138:M138"/>
    <mergeCell ref="N138:P138"/>
    <mergeCell ref="Q138:S138"/>
    <mergeCell ref="T138:V138"/>
    <mergeCell ref="W138:Y138"/>
    <mergeCell ref="Z138:AB138"/>
    <mergeCell ref="AC138:AE138"/>
    <mergeCell ref="AF138:AH138"/>
    <mergeCell ref="E91:G91"/>
    <mergeCell ref="K91:M91"/>
    <mergeCell ref="N91:P91"/>
    <mergeCell ref="Q91:S91"/>
    <mergeCell ref="T91:V91"/>
    <mergeCell ref="W91:Y91"/>
    <mergeCell ref="Z91:AB91"/>
    <mergeCell ref="AC91:AE91"/>
    <mergeCell ref="AF91:AH91"/>
    <mergeCell ref="AL268:AN268"/>
    <mergeCell ref="AO268:AQ268"/>
    <mergeCell ref="AR268:AT268"/>
    <mergeCell ref="D309:G309"/>
    <mergeCell ref="AR288:AT288"/>
    <mergeCell ref="K309:M309"/>
    <mergeCell ref="N309:P309"/>
    <mergeCell ref="Q309:S309"/>
    <mergeCell ref="T309:V309"/>
    <mergeCell ref="W309:Y309"/>
    <mergeCell ref="Z309:AB309"/>
    <mergeCell ref="AC309:AE309"/>
    <mergeCell ref="AF309:AH309"/>
    <mergeCell ref="AI309:AK309"/>
    <mergeCell ref="AL309:AN309"/>
    <mergeCell ref="AO309:AQ309"/>
    <mergeCell ref="Z268:AB268"/>
    <mergeCell ref="AC268:AE268"/>
    <mergeCell ref="AF268:AH268"/>
    <mergeCell ref="AI268:AK268"/>
    <mergeCell ref="E268:G268"/>
    <mergeCell ref="K268:M268"/>
    <mergeCell ref="N268:P268"/>
    <mergeCell ref="Q268:S268"/>
    <mergeCell ref="Z288:AB288"/>
    <mergeCell ref="K288:M288"/>
    <mergeCell ref="N288:P288"/>
    <mergeCell ref="AR309:AT309"/>
    <mergeCell ref="AC288:AE288"/>
    <mergeCell ref="AF288:AH288"/>
    <mergeCell ref="AI288:AK288"/>
    <mergeCell ref="AL288:AN288"/>
    <mergeCell ref="AO288:AQ288"/>
    <mergeCell ref="W288:Y288"/>
    <mergeCell ref="W268:Y268"/>
    <mergeCell ref="L2:R2"/>
    <mergeCell ref="E288:G288"/>
    <mergeCell ref="Q288:S288"/>
    <mergeCell ref="T288:V288"/>
    <mergeCell ref="E205:G205"/>
    <mergeCell ref="K205:M205"/>
    <mergeCell ref="N205:P205"/>
    <mergeCell ref="Q205:S205"/>
    <mergeCell ref="T205:V205"/>
    <mergeCell ref="T226:V226"/>
    <mergeCell ref="E19:G19"/>
    <mergeCell ref="E226:G226"/>
    <mergeCell ref="K226:M226"/>
    <mergeCell ref="N226:P226"/>
    <mergeCell ref="Q226:S226"/>
    <mergeCell ref="T268:V268"/>
    <mergeCell ref="E161:G161"/>
    <mergeCell ref="K161:M161"/>
    <mergeCell ref="N161:P161"/>
    <mergeCell ref="Q161:S161"/>
    <mergeCell ref="T161:V161"/>
    <mergeCell ref="E183:G183"/>
    <mergeCell ref="K183:M183"/>
    <mergeCell ref="AI91:AK91"/>
    <mergeCell ref="AL247:AN247"/>
    <mergeCell ref="Z247:AB247"/>
    <mergeCell ref="AC247:AE247"/>
    <mergeCell ref="AF247:AH247"/>
    <mergeCell ref="AI247:AK247"/>
    <mergeCell ref="AF19:AH19"/>
    <mergeCell ref="K19:M19"/>
    <mergeCell ref="N19:P19"/>
    <mergeCell ref="Q19:S19"/>
    <mergeCell ref="AI19:AK19"/>
    <mergeCell ref="T19:V19"/>
    <mergeCell ref="W19:Y19"/>
    <mergeCell ref="Z19:AB19"/>
    <mergeCell ref="AC19:AE19"/>
    <mergeCell ref="AI226:AK226"/>
    <mergeCell ref="Z226:AB226"/>
    <mergeCell ref="N183:P183"/>
    <mergeCell ref="Q183:S183"/>
    <mergeCell ref="T183:V183"/>
    <mergeCell ref="Z161:AB161"/>
    <mergeCell ref="AC226:AE226"/>
    <mergeCell ref="AF226:AH226"/>
    <mergeCell ref="AL91:AN91"/>
    <mergeCell ref="AO138:AQ138"/>
    <mergeCell ref="AR138:AT138"/>
    <mergeCell ref="AL115:AN115"/>
    <mergeCell ref="AO115:AQ115"/>
    <mergeCell ref="AR115:AT115"/>
    <mergeCell ref="AC161:AE161"/>
    <mergeCell ref="AF161:AH161"/>
    <mergeCell ref="AI161:AK161"/>
    <mergeCell ref="Z183:AB183"/>
    <mergeCell ref="AC183:AE183"/>
    <mergeCell ref="AF183:AH183"/>
    <mergeCell ref="AI183:AK183"/>
    <mergeCell ref="E247:G247"/>
    <mergeCell ref="K247:M247"/>
    <mergeCell ref="N247:P247"/>
    <mergeCell ref="Q247:S247"/>
    <mergeCell ref="T247:V247"/>
    <mergeCell ref="W247:Y247"/>
    <mergeCell ref="AO247:AQ247"/>
    <mergeCell ref="AR247:AT247"/>
    <mergeCell ref="AO19:AQ19"/>
    <mergeCell ref="AR19:AT19"/>
    <mergeCell ref="AL19:AN19"/>
    <mergeCell ref="AL183:AN183"/>
    <mergeCell ref="AO183:AQ183"/>
    <mergeCell ref="AR183:AT183"/>
    <mergeCell ref="AL205:AN205"/>
    <mergeCell ref="AO205:AQ205"/>
    <mergeCell ref="AR205:AT205"/>
    <mergeCell ref="AL226:AN226"/>
    <mergeCell ref="AO226:AQ226"/>
    <mergeCell ref="AR226:AT226"/>
    <mergeCell ref="AL161:AN161"/>
    <mergeCell ref="AO161:AQ161"/>
    <mergeCell ref="AR161:AT161"/>
    <mergeCell ref="AL138:AN138"/>
    <mergeCell ref="AI67:AK67"/>
    <mergeCell ref="AL67:AN67"/>
    <mergeCell ref="AO67:AQ67"/>
    <mergeCell ref="AR67:AT67"/>
    <mergeCell ref="E67:G67"/>
    <mergeCell ref="K67:M67"/>
    <mergeCell ref="N67:P67"/>
    <mergeCell ref="Q67:S67"/>
    <mergeCell ref="T67:V67"/>
    <mergeCell ref="W67:Y67"/>
    <mergeCell ref="Z67:AB67"/>
    <mergeCell ref="AC67:AE67"/>
    <mergeCell ref="AF67:AH67"/>
  </mergeCells>
  <phoneticPr fontId="2" type="noConversion"/>
  <pageMargins left="0.7" right="0.7" top="0.75" bottom="0.75" header="0.3" footer="0.3"/>
  <pageSetup paperSize="1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E118-8B6C-4A6C-9789-C8113B336EAF}">
  <dimension ref="A2:I19"/>
  <sheetViews>
    <sheetView workbookViewId="0">
      <selection activeCell="H37" sqref="H37"/>
    </sheetView>
  </sheetViews>
  <sheetFormatPr defaultRowHeight="12.75"/>
  <cols>
    <col min="1" max="1" width="13" customWidth="1"/>
    <col min="2" max="2" width="25.140625" customWidth="1"/>
    <col min="3" max="3" width="18.28515625" customWidth="1"/>
    <col min="4" max="4" width="19.7109375" customWidth="1"/>
    <col min="6" max="6" width="12.85546875" customWidth="1"/>
    <col min="7" max="7" width="25.7109375" customWidth="1"/>
    <col min="8" max="8" width="16.85546875" customWidth="1"/>
    <col min="9" max="9" width="18.42578125" customWidth="1"/>
  </cols>
  <sheetData>
    <row r="2" spans="1:9">
      <c r="A2" s="516" t="s">
        <v>89</v>
      </c>
      <c r="B2" s="528"/>
      <c r="C2" s="528"/>
      <c r="D2" s="528"/>
      <c r="E2" s="517"/>
      <c r="F2" s="516" t="s">
        <v>90</v>
      </c>
      <c r="G2" s="528"/>
      <c r="H2" s="528"/>
      <c r="I2" s="529"/>
    </row>
    <row r="3" spans="1:9">
      <c r="A3" s="530" t="s">
        <v>91</v>
      </c>
      <c r="B3" s="531" t="s">
        <v>92</v>
      </c>
      <c r="C3" s="531" t="s">
        <v>93</v>
      </c>
      <c r="D3" s="531" t="s">
        <v>94</v>
      </c>
      <c r="E3" s="532"/>
      <c r="F3" s="530" t="s">
        <v>91</v>
      </c>
      <c r="G3" s="531" t="s">
        <v>92</v>
      </c>
      <c r="H3" s="531" t="s">
        <v>93</v>
      </c>
      <c r="I3" s="533" t="s">
        <v>94</v>
      </c>
    </row>
    <row r="4" spans="1:9">
      <c r="A4" s="519">
        <v>45603</v>
      </c>
      <c r="B4" s="321" t="s">
        <v>95</v>
      </c>
      <c r="C4" s="321" t="s">
        <v>96</v>
      </c>
      <c r="D4" s="515">
        <v>500</v>
      </c>
      <c r="E4" s="518"/>
      <c r="F4" s="573">
        <v>46023</v>
      </c>
      <c r="G4" s="598" t="s">
        <v>97</v>
      </c>
      <c r="H4" s="598" t="s">
        <v>98</v>
      </c>
      <c r="I4" s="599">
        <v>200</v>
      </c>
    </row>
    <row r="5" spans="1:9">
      <c r="A5" s="519">
        <v>45603</v>
      </c>
      <c r="B5" s="321" t="s">
        <v>99</v>
      </c>
      <c r="C5" s="321" t="s">
        <v>96</v>
      </c>
      <c r="D5" s="515">
        <f>3000-1250</f>
        <v>1750</v>
      </c>
      <c r="E5" s="518"/>
      <c r="F5" s="573">
        <v>46090</v>
      </c>
      <c r="G5" s="600" t="s">
        <v>95</v>
      </c>
      <c r="H5" s="598" t="s">
        <v>100</v>
      </c>
      <c r="I5" s="599">
        <v>500</v>
      </c>
    </row>
    <row r="6" spans="1:9">
      <c r="A6" s="519">
        <v>45603</v>
      </c>
      <c r="B6" s="321" t="s">
        <v>101</v>
      </c>
      <c r="C6" s="321" t="s">
        <v>96</v>
      </c>
      <c r="D6" s="515">
        <v>150</v>
      </c>
      <c r="E6" s="518"/>
      <c r="F6" s="573">
        <v>46090</v>
      </c>
      <c r="G6" s="600" t="s">
        <v>102</v>
      </c>
      <c r="H6" s="598" t="s">
        <v>100</v>
      </c>
      <c r="I6" s="599">
        <v>500</v>
      </c>
    </row>
    <row r="7" spans="1:9">
      <c r="A7" s="519">
        <v>45603</v>
      </c>
      <c r="B7" s="321" t="s">
        <v>103</v>
      </c>
      <c r="C7" s="321" t="s">
        <v>96</v>
      </c>
      <c r="D7" s="515">
        <v>100</v>
      </c>
      <c r="E7" s="518"/>
      <c r="F7" s="573">
        <v>46090</v>
      </c>
      <c r="G7" s="600" t="s">
        <v>104</v>
      </c>
      <c r="H7" s="598" t="s">
        <v>100</v>
      </c>
      <c r="I7" s="599">
        <v>200</v>
      </c>
    </row>
    <row r="8" spans="1:9">
      <c r="A8" s="519">
        <v>45603</v>
      </c>
      <c r="B8" s="321" t="s">
        <v>105</v>
      </c>
      <c r="C8" s="321" t="s">
        <v>96</v>
      </c>
      <c r="D8" s="515">
        <v>100</v>
      </c>
      <c r="E8" s="518"/>
      <c r="F8" s="519">
        <v>46143</v>
      </c>
      <c r="G8" s="321" t="s">
        <v>106</v>
      </c>
      <c r="H8" s="321" t="s">
        <v>107</v>
      </c>
      <c r="I8" s="572">
        <v>500</v>
      </c>
    </row>
    <row r="9" spans="1:9">
      <c r="A9" s="519">
        <v>45603</v>
      </c>
      <c r="B9" s="321" t="s">
        <v>108</v>
      </c>
      <c r="C9" s="321" t="s">
        <v>96</v>
      </c>
      <c r="D9" s="515">
        <v>100</v>
      </c>
      <c r="E9" s="518"/>
      <c r="F9" s="519"/>
      <c r="G9" s="575"/>
      <c r="H9" s="575"/>
      <c r="I9" s="520"/>
    </row>
    <row r="10" spans="1:9">
      <c r="A10" s="519">
        <v>45603</v>
      </c>
      <c r="B10" s="321" t="s">
        <v>109</v>
      </c>
      <c r="C10" s="321" t="s">
        <v>96</v>
      </c>
      <c r="D10" s="515">
        <v>300</v>
      </c>
      <c r="E10" s="518"/>
      <c r="F10" s="519"/>
      <c r="G10" s="575"/>
      <c r="H10" s="575"/>
      <c r="I10" s="520"/>
    </row>
    <row r="11" spans="1:9">
      <c r="A11" s="519">
        <v>45992</v>
      </c>
      <c r="B11" s="321" t="s">
        <v>95</v>
      </c>
      <c r="C11" s="321" t="s">
        <v>110</v>
      </c>
      <c r="D11" s="515">
        <v>400</v>
      </c>
      <c r="E11" s="518"/>
      <c r="F11" s="519"/>
      <c r="G11" s="575"/>
      <c r="H11" s="575"/>
      <c r="I11" s="520"/>
    </row>
    <row r="12" spans="1:9">
      <c r="A12" s="573">
        <v>46023</v>
      </c>
      <c r="B12" s="574" t="s">
        <v>97</v>
      </c>
      <c r="C12" s="574" t="s">
        <v>98</v>
      </c>
      <c r="D12" s="572">
        <v>200</v>
      </c>
      <c r="E12" s="518"/>
      <c r="F12" s="519"/>
      <c r="G12" s="575"/>
      <c r="H12" s="575"/>
      <c r="I12" s="520"/>
    </row>
    <row r="13" spans="1:9">
      <c r="A13" s="519">
        <v>46143</v>
      </c>
      <c r="B13" s="321" t="s">
        <v>106</v>
      </c>
      <c r="C13" s="321" t="s">
        <v>107</v>
      </c>
      <c r="D13" s="572">
        <v>500</v>
      </c>
      <c r="E13" s="518"/>
      <c r="F13" s="521"/>
      <c r="G13" s="575"/>
      <c r="H13" s="575"/>
      <c r="I13" s="520"/>
    </row>
    <row r="14" spans="1:9">
      <c r="A14" s="521"/>
      <c r="B14" s="321"/>
      <c r="C14" s="321"/>
      <c r="D14" s="515"/>
      <c r="E14" s="518"/>
      <c r="F14" s="521"/>
      <c r="G14" s="575"/>
      <c r="H14" s="575"/>
      <c r="I14" s="520"/>
    </row>
    <row r="15" spans="1:9">
      <c r="A15" s="521"/>
      <c r="E15" s="518"/>
      <c r="F15" s="521"/>
      <c r="G15" s="576"/>
      <c r="H15" s="576"/>
      <c r="I15" s="522"/>
    </row>
    <row r="16" spans="1:9">
      <c r="A16" s="521"/>
      <c r="B16" s="321"/>
      <c r="C16" s="321"/>
      <c r="D16" s="322"/>
      <c r="E16" s="518"/>
      <c r="F16" s="334"/>
      <c r="G16" s="576"/>
      <c r="H16" s="576"/>
      <c r="I16" s="522"/>
    </row>
    <row r="17" spans="1:9">
      <c r="A17" s="523"/>
      <c r="B17" s="524" t="s">
        <v>29</v>
      </c>
      <c r="C17" s="524"/>
      <c r="D17" s="525">
        <f>SUM(D4:D14)</f>
        <v>4100</v>
      </c>
      <c r="E17" s="526"/>
      <c r="F17" s="339"/>
      <c r="G17" s="524" t="s">
        <v>29</v>
      </c>
      <c r="H17" s="524"/>
      <c r="I17" s="527">
        <f>SUM(I4:I14)</f>
        <v>1900</v>
      </c>
    </row>
    <row r="19" spans="1:9">
      <c r="D19" s="601">
        <f>D17+I17</f>
        <v>6000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6"/>
  <sheetViews>
    <sheetView zoomScale="85" zoomScaleNormal="85" zoomScalePageLayoutView="85" workbookViewId="0">
      <pane ySplit="3" topLeftCell="J4" activePane="bottomLeft" state="frozen"/>
      <selection pane="bottomLeft" activeCell="AD31" sqref="AD31"/>
    </sheetView>
  </sheetViews>
  <sheetFormatPr defaultColWidth="8.85546875" defaultRowHeight="12.75"/>
  <cols>
    <col min="1" max="1" width="10.42578125" style="2" customWidth="1"/>
    <col min="2" max="2" width="33.85546875" style="2" customWidth="1"/>
    <col min="3" max="3" width="15.28515625" style="2" bestFit="1" customWidth="1"/>
    <col min="4" max="4" width="12.28515625" style="2" customWidth="1"/>
    <col min="5" max="5" width="11.140625" style="2" customWidth="1"/>
    <col min="6" max="6" width="12.28515625" style="2" customWidth="1"/>
    <col min="7" max="7" width="11.28515625" style="2" customWidth="1"/>
    <col min="8" max="8" width="11.7109375" style="105" bestFit="1" customWidth="1"/>
    <col min="9" max="9" width="11.42578125" style="105" customWidth="1"/>
    <col min="10" max="10" width="10.7109375" style="105" bestFit="1" customWidth="1"/>
    <col min="11" max="11" width="12.140625" style="105" bestFit="1" customWidth="1"/>
    <col min="12" max="12" width="10" style="105" bestFit="1" customWidth="1"/>
    <col min="13" max="13" width="10" style="105" customWidth="1"/>
    <col min="14" max="14" width="11.7109375" style="105" bestFit="1" customWidth="1"/>
    <col min="15" max="15" width="10" style="105" bestFit="1" customWidth="1"/>
    <col min="16" max="16" width="13.42578125" style="105" customWidth="1"/>
    <col min="17" max="17" width="9.85546875" style="105" customWidth="1"/>
    <col min="18" max="19" width="12.42578125" style="105" customWidth="1"/>
    <col min="20" max="21" width="6.42578125" style="105" bestFit="1" customWidth="1"/>
    <col min="22" max="22" width="19.140625" style="105" bestFit="1" customWidth="1"/>
    <col min="23" max="23" width="10" style="33" bestFit="1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3" t="s">
        <v>91</v>
      </c>
      <c r="B2" s="31" t="s">
        <v>114</v>
      </c>
      <c r="C2" s="63" t="s">
        <v>115</v>
      </c>
      <c r="D2" s="137" t="s">
        <v>116</v>
      </c>
      <c r="E2" s="138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114"/>
      <c r="B3" s="115"/>
      <c r="C3" s="142"/>
      <c r="D3" s="162"/>
      <c r="E3" s="163"/>
      <c r="F3" s="164"/>
      <c r="G3" s="163"/>
      <c r="H3" s="165"/>
      <c r="I3" s="165"/>
      <c r="J3" s="165"/>
      <c r="K3" s="165"/>
      <c r="L3" s="165"/>
      <c r="M3" s="165"/>
      <c r="N3" s="165"/>
      <c r="O3" s="165"/>
      <c r="P3" s="166"/>
      <c r="Q3" s="165"/>
      <c r="R3" s="165"/>
      <c r="S3" s="165"/>
      <c r="T3" s="165"/>
      <c r="U3" s="165"/>
      <c r="V3" s="163"/>
      <c r="W3" s="167"/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108"/>
      <c r="B4" s="93"/>
      <c r="C4" s="143"/>
      <c r="D4" s="158"/>
      <c r="E4" s="159"/>
      <c r="F4" s="168"/>
      <c r="G4" s="169"/>
      <c r="H4" s="159"/>
      <c r="I4" s="159"/>
      <c r="J4" s="159"/>
      <c r="K4" s="159"/>
      <c r="L4" s="159"/>
      <c r="M4" s="159"/>
      <c r="N4" s="159"/>
      <c r="O4" s="159"/>
      <c r="P4" s="158"/>
      <c r="Q4" s="159"/>
      <c r="R4" s="159"/>
      <c r="S4" s="159"/>
      <c r="T4" s="159"/>
      <c r="U4" s="159"/>
      <c r="V4" s="160"/>
      <c r="W4" s="170"/>
      <c r="Y4" s="18" t="s">
        <v>8</v>
      </c>
      <c r="Z4" s="23">
        <f>Summary!AR21</f>
        <v>350</v>
      </c>
      <c r="AA4" s="23">
        <f>SUMIF($C$2:$C$37,Y4,$F$2:$F$37)+SUMIF($C$2:$C$37,Y4,$G$2:$G$37)</f>
        <v>0</v>
      </c>
      <c r="AB4" s="26">
        <f t="shared" ref="AB4:AB21" si="0">Z4+AA4</f>
        <v>350</v>
      </c>
      <c r="AD4" s="18"/>
      <c r="AE4" s="19"/>
      <c r="AF4" s="103"/>
    </row>
    <row r="5" spans="1:33">
      <c r="A5" s="108"/>
      <c r="B5" s="97"/>
      <c r="C5" s="143"/>
      <c r="D5" s="158"/>
      <c r="E5" s="159"/>
      <c r="F5" s="158"/>
      <c r="G5" s="160"/>
      <c r="H5" s="159"/>
      <c r="I5" s="159"/>
      <c r="J5" s="159"/>
      <c r="K5" s="159"/>
      <c r="L5" s="159"/>
      <c r="M5" s="159"/>
      <c r="N5" s="159"/>
      <c r="O5" s="159"/>
      <c r="P5" s="158"/>
      <c r="Q5" s="159"/>
      <c r="R5" s="159"/>
      <c r="S5" s="159"/>
      <c r="T5" s="159"/>
      <c r="U5" s="159"/>
      <c r="V5" s="160"/>
      <c r="W5" s="170"/>
      <c r="Y5" s="18" t="s">
        <v>9</v>
      </c>
      <c r="Z5" s="23">
        <f>Summary!AR22</f>
        <v>335</v>
      </c>
      <c r="AA5" s="23">
        <f>SUMIF($C$2:$C$37,Y5,$F$2:$F$37)+SUMIF($C$2:$C$37,Y5,$G$2:$G$37)</f>
        <v>0</v>
      </c>
      <c r="AB5" s="26">
        <f t="shared" si="0"/>
        <v>335</v>
      </c>
      <c r="AD5" s="21" t="s">
        <v>128</v>
      </c>
      <c r="AE5" s="19"/>
      <c r="AF5" s="20"/>
    </row>
    <row r="6" spans="1:33">
      <c r="A6" s="108"/>
      <c r="B6" s="97"/>
      <c r="C6" s="143"/>
      <c r="D6" s="158"/>
      <c r="E6" s="159"/>
      <c r="F6" s="158"/>
      <c r="G6" s="160"/>
      <c r="H6" s="159"/>
      <c r="I6" s="159"/>
      <c r="J6" s="159"/>
      <c r="K6" s="159"/>
      <c r="L6" s="159"/>
      <c r="M6" s="159"/>
      <c r="N6" s="159"/>
      <c r="O6" s="159"/>
      <c r="P6" s="158"/>
      <c r="Q6" s="159"/>
      <c r="R6" s="159"/>
      <c r="S6" s="159"/>
      <c r="T6" s="159"/>
      <c r="U6" s="159"/>
      <c r="V6" s="160"/>
      <c r="W6" s="170"/>
      <c r="Y6" s="18" t="s">
        <v>10</v>
      </c>
      <c r="Z6" s="23">
        <f>Summary!AR23</f>
        <v>0</v>
      </c>
      <c r="AA6" s="23">
        <f>SUMIF($C$2:$C$37,Y6,$F$2:$F$37)+SUMIF($C$2:$C$37,Y6,$G$2:$G$37)</f>
        <v>0</v>
      </c>
      <c r="AB6" s="26">
        <f t="shared" si="0"/>
        <v>0</v>
      </c>
      <c r="AD6" s="18" t="s">
        <v>49</v>
      </c>
      <c r="AE6" s="22"/>
      <c r="AF6" s="20"/>
    </row>
    <row r="7" spans="1:33">
      <c r="A7" s="108"/>
      <c r="B7" s="97"/>
      <c r="C7" s="143"/>
      <c r="D7" s="158"/>
      <c r="E7" s="159"/>
      <c r="F7" s="158"/>
      <c r="G7" s="160"/>
      <c r="H7" s="159"/>
      <c r="I7" s="159"/>
      <c r="J7" s="159"/>
      <c r="K7" s="159"/>
      <c r="L7" s="159"/>
      <c r="M7" s="159"/>
      <c r="N7" s="159"/>
      <c r="O7" s="159"/>
      <c r="P7" s="158"/>
      <c r="Q7" s="159"/>
      <c r="R7" s="159"/>
      <c r="S7" s="159"/>
      <c r="T7" s="159"/>
      <c r="U7" s="159"/>
      <c r="V7" s="160"/>
      <c r="W7" s="170"/>
      <c r="Y7" s="47" t="s">
        <v>11</v>
      </c>
      <c r="Z7" s="23">
        <f>Summary!AR24</f>
        <v>20</v>
      </c>
      <c r="AA7" s="23">
        <f>SUMIF($C$2:$C$37,Y7,$F$2:$F$37)+SUMIF($C$2:$C$37,Y7,$G$2:$G$37)</f>
        <v>0</v>
      </c>
      <c r="AB7" s="26">
        <f t="shared" si="0"/>
        <v>20</v>
      </c>
      <c r="AD7" s="18" t="s">
        <v>129</v>
      </c>
      <c r="AE7" s="23"/>
      <c r="AF7" s="20"/>
    </row>
    <row r="8" spans="1:33">
      <c r="A8" s="108"/>
      <c r="B8" s="97"/>
      <c r="C8" s="143"/>
      <c r="D8" s="158"/>
      <c r="E8" s="159"/>
      <c r="F8" s="158"/>
      <c r="G8" s="160"/>
      <c r="H8" s="159"/>
      <c r="I8" s="159"/>
      <c r="J8" s="159"/>
      <c r="K8" s="159"/>
      <c r="L8" s="159"/>
      <c r="M8" s="159"/>
      <c r="N8" s="159"/>
      <c r="O8" s="159"/>
      <c r="P8" s="158"/>
      <c r="Q8" s="159"/>
      <c r="R8" s="159"/>
      <c r="S8" s="159"/>
      <c r="T8" s="159"/>
      <c r="U8" s="159"/>
      <c r="V8" s="160"/>
      <c r="W8" s="170"/>
      <c r="Y8" s="18" t="s">
        <v>12</v>
      </c>
      <c r="Z8" s="23">
        <f>Summary!AR25</f>
        <v>700</v>
      </c>
      <c r="AA8" s="23">
        <f>SUMIF($C$2:$C$37,Y8,$F$2:$F$37)+SUMIF($C$2:$C$37,Y8,$G$2:$G$37)</f>
        <v>0</v>
      </c>
      <c r="AB8" s="26">
        <f t="shared" si="0"/>
        <v>700</v>
      </c>
      <c r="AD8" s="18" t="s">
        <v>111</v>
      </c>
      <c r="AE8" s="23"/>
      <c r="AF8" s="20"/>
    </row>
    <row r="9" spans="1:33">
      <c r="A9" s="108"/>
      <c r="B9" s="97"/>
      <c r="C9" s="143"/>
      <c r="D9" s="158"/>
      <c r="E9" s="159"/>
      <c r="F9" s="158"/>
      <c r="G9" s="160"/>
      <c r="H9" s="159"/>
      <c r="I9" s="159"/>
      <c r="J9" s="159"/>
      <c r="K9" s="159"/>
      <c r="L9" s="159"/>
      <c r="M9" s="159"/>
      <c r="N9" s="159"/>
      <c r="O9" s="159"/>
      <c r="P9" s="158"/>
      <c r="Q9" s="159"/>
      <c r="R9" s="159"/>
      <c r="S9" s="159"/>
      <c r="T9" s="159"/>
      <c r="U9" s="159"/>
      <c r="V9" s="170"/>
      <c r="W9" s="170"/>
      <c r="Y9" s="18" t="s">
        <v>13</v>
      </c>
      <c r="Z9" s="23">
        <f>Summary!AR26</f>
        <v>1300</v>
      </c>
      <c r="AA9" s="23">
        <f>SUMIF($C$2:$C$37,Y9,$F$2:$F$37)+SUMIF($C$2:$C$37,Y9,$G$2:$G$37)</f>
        <v>0</v>
      </c>
      <c r="AB9" s="26">
        <f t="shared" si="0"/>
        <v>1300</v>
      </c>
      <c r="AD9" s="18" t="s">
        <v>130</v>
      </c>
      <c r="AE9" s="22"/>
      <c r="AF9" s="20"/>
    </row>
    <row r="10" spans="1:33">
      <c r="A10" s="108"/>
      <c r="B10" s="97"/>
      <c r="C10" s="143"/>
      <c r="D10" s="158"/>
      <c r="E10" s="159"/>
      <c r="F10" s="158"/>
      <c r="G10" s="160"/>
      <c r="H10" s="159"/>
      <c r="I10" s="159"/>
      <c r="J10" s="159"/>
      <c r="K10" s="159"/>
      <c r="L10" s="159"/>
      <c r="M10" s="159"/>
      <c r="N10" s="159"/>
      <c r="O10" s="159"/>
      <c r="P10" s="158"/>
      <c r="Q10" s="159"/>
      <c r="R10" s="159"/>
      <c r="S10" s="159"/>
      <c r="T10" s="159"/>
      <c r="U10" s="159"/>
      <c r="V10" s="160"/>
      <c r="W10" s="170"/>
      <c r="Y10" s="18" t="s">
        <v>14</v>
      </c>
      <c r="Z10" s="23">
        <f>Summary!AR27</f>
        <v>150</v>
      </c>
      <c r="AA10" s="23">
        <f>SUMIF($C$2:$C$37,Y10,$F$2:$F$37)+SUMIF($C$2:$C$37,Y10,$G$2:$G$37)</f>
        <v>0</v>
      </c>
      <c r="AB10" s="26">
        <f t="shared" si="0"/>
        <v>150</v>
      </c>
      <c r="AD10" s="18" t="s">
        <v>131</v>
      </c>
      <c r="AE10" s="22"/>
      <c r="AF10" s="20"/>
    </row>
    <row r="11" spans="1:33">
      <c r="A11" s="108"/>
      <c r="B11" s="97"/>
      <c r="C11" s="143"/>
      <c r="D11" s="158"/>
      <c r="E11" s="159"/>
      <c r="F11" s="158"/>
      <c r="G11" s="160"/>
      <c r="H11" s="159"/>
      <c r="I11" s="159"/>
      <c r="J11" s="171"/>
      <c r="K11" s="159"/>
      <c r="L11" s="159"/>
      <c r="M11" s="159"/>
      <c r="N11" s="159"/>
      <c r="O11" s="159"/>
      <c r="P11" s="158"/>
      <c r="Q11" s="159"/>
      <c r="R11" s="159"/>
      <c r="S11" s="159"/>
      <c r="T11" s="159"/>
      <c r="U11" s="159"/>
      <c r="V11" s="160"/>
      <c r="W11" s="170"/>
      <c r="Y11" s="18" t="s">
        <v>15</v>
      </c>
      <c r="Z11" s="23">
        <f>Summary!AR28</f>
        <v>200</v>
      </c>
      <c r="AA11" s="23">
        <f>SUMIF($C$2:$C$37,Y11,$F$2:$F$37)+SUMIF($C$2:$C$37,Y11,$G$2:$G$37)</f>
        <v>0</v>
      </c>
      <c r="AB11" s="26">
        <f>Z11+AA11</f>
        <v>200</v>
      </c>
      <c r="AD11" s="18" t="s">
        <v>124</v>
      </c>
      <c r="AE11" s="22"/>
      <c r="AF11" s="20"/>
    </row>
    <row r="12" spans="1:33">
      <c r="A12" s="108"/>
      <c r="B12" s="97"/>
      <c r="C12" s="143"/>
      <c r="D12" s="158"/>
      <c r="E12" s="159"/>
      <c r="F12" s="158"/>
      <c r="G12" s="160"/>
      <c r="H12" s="159"/>
      <c r="I12" s="159"/>
      <c r="J12" s="159"/>
      <c r="K12" s="159"/>
      <c r="L12" s="159"/>
      <c r="M12" s="159"/>
      <c r="N12" s="159"/>
      <c r="O12" s="159"/>
      <c r="P12" s="158"/>
      <c r="Q12" s="159"/>
      <c r="R12" s="159"/>
      <c r="S12" s="159"/>
      <c r="T12" s="159"/>
      <c r="U12" s="159"/>
      <c r="V12" s="160"/>
      <c r="W12" s="170"/>
      <c r="Y12" s="18" t="s">
        <v>16</v>
      </c>
      <c r="Z12" s="23">
        <f>Summary!AR29</f>
        <v>1000</v>
      </c>
      <c r="AA12" s="23">
        <f>SUMIF($C$2:$C$37,Y12,$F$2:$F$37)+SUMIF($C$2:$C$37,Y12,$G$2:$G$37)</f>
        <v>0</v>
      </c>
      <c r="AB12" s="26">
        <f>Z12+AA12</f>
        <v>1000</v>
      </c>
      <c r="AD12" s="21" t="s">
        <v>29</v>
      </c>
      <c r="AE12" s="637">
        <f>SUM(AE6:AE11)</f>
        <v>0</v>
      </c>
      <c r="AF12" s="20"/>
    </row>
    <row r="13" spans="1:33">
      <c r="A13" s="108"/>
      <c r="B13" s="97"/>
      <c r="C13" s="143"/>
      <c r="D13" s="158"/>
      <c r="E13" s="159"/>
      <c r="F13" s="158"/>
      <c r="G13" s="160"/>
      <c r="H13" s="159"/>
      <c r="I13" s="159"/>
      <c r="J13" s="159"/>
      <c r="K13" s="159"/>
      <c r="L13" s="159"/>
      <c r="M13" s="159"/>
      <c r="N13" s="159"/>
      <c r="O13" s="159"/>
      <c r="P13" s="158"/>
      <c r="Q13" s="159"/>
      <c r="R13" s="159"/>
      <c r="S13" s="159"/>
      <c r="T13" s="159"/>
      <c r="U13" s="159"/>
      <c r="V13" s="160"/>
      <c r="W13" s="170"/>
      <c r="Y13" s="18" t="s">
        <v>17</v>
      </c>
      <c r="Z13" s="23">
        <f>Summary!AR30</f>
        <v>1000</v>
      </c>
      <c r="AA13" s="23">
        <f>SUMIF($C$2:$C$37,Y13,$F$2:$F$37)+SUMIF($C$2:$C$37,Y13,$G$2:$G$37)</f>
        <v>0</v>
      </c>
      <c r="AB13" s="26">
        <f t="shared" si="0"/>
        <v>1000</v>
      </c>
      <c r="AD13" s="18"/>
      <c r="AE13" s="24"/>
      <c r="AF13" s="20"/>
    </row>
    <row r="14" spans="1:33">
      <c r="A14" s="27"/>
      <c r="B14" s="97"/>
      <c r="C14" s="143"/>
      <c r="D14" s="158"/>
      <c r="E14" s="159"/>
      <c r="F14" s="158"/>
      <c r="G14" s="160"/>
      <c r="H14" s="159"/>
      <c r="I14" s="159"/>
      <c r="J14" s="159"/>
      <c r="K14" s="159"/>
      <c r="L14" s="159"/>
      <c r="M14" s="159"/>
      <c r="N14" s="159"/>
      <c r="O14" s="159"/>
      <c r="P14" s="158"/>
      <c r="Q14" s="159"/>
      <c r="R14" s="159"/>
      <c r="S14" s="159"/>
      <c r="T14" s="159"/>
      <c r="U14" s="159"/>
      <c r="V14" s="160"/>
      <c r="W14" s="170"/>
      <c r="Y14" s="18" t="s">
        <v>18</v>
      </c>
      <c r="Z14" s="23">
        <f>Summary!AR31</f>
        <v>200</v>
      </c>
      <c r="AA14" s="23">
        <f>SUMIF($C$2:$C$37,Y14,$F$2:$F$37)+SUMIF($C$2:$C$37,Y14,$G$2:$G$37)</f>
        <v>0</v>
      </c>
      <c r="AB14" s="26">
        <f t="shared" si="0"/>
        <v>200</v>
      </c>
      <c r="AD14" s="21" t="s">
        <v>132</v>
      </c>
      <c r="AE14" s="19"/>
      <c r="AF14" s="20"/>
    </row>
    <row r="15" spans="1:33">
      <c r="A15" s="27"/>
      <c r="B15" s="97"/>
      <c r="C15" s="143"/>
      <c r="D15" s="158"/>
      <c r="E15" s="159"/>
      <c r="F15" s="158"/>
      <c r="G15" s="160"/>
      <c r="H15" s="159"/>
      <c r="I15" s="159"/>
      <c r="J15" s="159"/>
      <c r="K15" s="159"/>
      <c r="L15" s="159"/>
      <c r="M15" s="159"/>
      <c r="N15" s="159"/>
      <c r="O15" s="160"/>
      <c r="P15" s="158"/>
      <c r="Q15" s="159"/>
      <c r="R15" s="159"/>
      <c r="S15" s="159"/>
      <c r="T15" s="159"/>
      <c r="U15" s="159"/>
      <c r="V15" s="160"/>
      <c r="W15" s="170"/>
      <c r="Y15" s="18" t="s">
        <v>19</v>
      </c>
      <c r="Z15" s="23">
        <f>Summary!AR32</f>
        <v>0</v>
      </c>
      <c r="AA15" s="23">
        <f>SUMIF($C$2:$C$37,Y15,$F$2:$F$37)+SUMIF($C$2:$C$37,Y15,$G$2:$G$37)</f>
        <v>0</v>
      </c>
      <c r="AB15" s="26">
        <f t="shared" si="0"/>
        <v>0</v>
      </c>
      <c r="AD15" s="18" t="s">
        <v>49</v>
      </c>
      <c r="AE15" s="23"/>
      <c r="AF15" s="20"/>
    </row>
    <row r="16" spans="1:33">
      <c r="A16" s="27"/>
      <c r="B16" s="97"/>
      <c r="C16" s="143"/>
      <c r="D16" s="158"/>
      <c r="E16" s="159"/>
      <c r="F16" s="158"/>
      <c r="G16" s="160"/>
      <c r="H16" s="159"/>
      <c r="I16" s="159"/>
      <c r="J16" s="159"/>
      <c r="K16" s="159"/>
      <c r="L16" s="159"/>
      <c r="M16" s="159"/>
      <c r="N16" s="159"/>
      <c r="O16" s="160"/>
      <c r="P16" s="158"/>
      <c r="Q16" s="159"/>
      <c r="R16" s="159"/>
      <c r="S16" s="159"/>
      <c r="T16" s="159"/>
      <c r="U16" s="159"/>
      <c r="V16" s="160"/>
      <c r="W16" s="170"/>
      <c r="Y16" s="18" t="s">
        <v>20</v>
      </c>
      <c r="Z16" s="23">
        <f>Summary!AR33</f>
        <v>600</v>
      </c>
      <c r="AA16" s="23">
        <f>SUMIF($C$2:$C$37,Y16,$F$2:$F$37)+SUMIF($C$2:$C$37,Y16,$G$2:$G$37)</f>
        <v>0</v>
      </c>
      <c r="AB16" s="26">
        <f t="shared" si="0"/>
        <v>600</v>
      </c>
      <c r="AD16" s="18" t="s">
        <v>129</v>
      </c>
      <c r="AE16" s="23"/>
      <c r="AF16" s="20"/>
    </row>
    <row r="17" spans="1:32">
      <c r="A17" s="27"/>
      <c r="B17" s="97"/>
      <c r="C17" s="143"/>
      <c r="D17" s="158"/>
      <c r="E17" s="159"/>
      <c r="F17" s="158"/>
      <c r="G17" s="160"/>
      <c r="H17" s="159"/>
      <c r="I17" s="159"/>
      <c r="J17" s="159"/>
      <c r="K17" s="159"/>
      <c r="L17" s="159"/>
      <c r="M17" s="159"/>
      <c r="N17" s="159"/>
      <c r="O17" s="160"/>
      <c r="P17" s="158"/>
      <c r="Q17" s="159"/>
      <c r="R17" s="159"/>
      <c r="S17" s="159"/>
      <c r="T17" s="159"/>
      <c r="U17" s="159"/>
      <c r="V17" s="160"/>
      <c r="W17" s="170"/>
      <c r="Y17" s="18" t="s">
        <v>21</v>
      </c>
      <c r="Z17" s="23">
        <f>Summary!AR34</f>
        <v>800</v>
      </c>
      <c r="AA17" s="23">
        <f>SUMIF($C$2:$C$37,Y17,$F$2:$F$37)+SUMIF($C$2:$C$37,Y17,$G$2:$G$37)</f>
        <v>0</v>
      </c>
      <c r="AB17" s="26">
        <f t="shared" si="0"/>
        <v>800</v>
      </c>
      <c r="AD17" s="18" t="s">
        <v>50</v>
      </c>
      <c r="AE17" s="23"/>
      <c r="AF17" s="20"/>
    </row>
    <row r="18" spans="1:32">
      <c r="A18" s="27"/>
      <c r="B18" s="93"/>
      <c r="C18" s="143"/>
      <c r="D18" s="158"/>
      <c r="E18" s="159"/>
      <c r="F18" s="158"/>
      <c r="G18" s="160"/>
      <c r="H18" s="159"/>
      <c r="I18" s="159"/>
      <c r="J18" s="159"/>
      <c r="K18" s="159"/>
      <c r="L18" s="159"/>
      <c r="M18" s="159"/>
      <c r="N18" s="159"/>
      <c r="O18" s="160"/>
      <c r="P18" s="158"/>
      <c r="Q18" s="159"/>
      <c r="R18" s="159"/>
      <c r="S18" s="159"/>
      <c r="T18" s="159"/>
      <c r="U18" s="159"/>
      <c r="V18" s="160"/>
      <c r="W18" s="170"/>
      <c r="Y18" s="18" t="s">
        <v>22</v>
      </c>
      <c r="Z18" s="23">
        <f>Summary!AR35</f>
        <v>4100</v>
      </c>
      <c r="AA18" s="23">
        <f>SUMIF($C$2:$C$37,Y18,$F$2:$F$37)+SUMIF($C$2:$C$37,Y18,$G$2:$G$37)</f>
        <v>0</v>
      </c>
      <c r="AB18" s="26">
        <f t="shared" si="0"/>
        <v>4100</v>
      </c>
      <c r="AD18" s="18" t="s">
        <v>130</v>
      </c>
      <c r="AE18" s="23"/>
      <c r="AF18" s="20"/>
    </row>
    <row r="19" spans="1:32">
      <c r="A19" s="108"/>
      <c r="B19" s="93"/>
      <c r="C19" s="143"/>
      <c r="D19" s="158"/>
      <c r="E19" s="159"/>
      <c r="F19" s="158"/>
      <c r="G19" s="160"/>
      <c r="H19" s="159"/>
      <c r="I19" s="159"/>
      <c r="J19" s="159"/>
      <c r="K19" s="159"/>
      <c r="L19" s="159"/>
      <c r="M19" s="159"/>
      <c r="N19" s="159"/>
      <c r="O19" s="160"/>
      <c r="P19" s="158"/>
      <c r="Q19" s="159"/>
      <c r="R19" s="159"/>
      <c r="S19" s="159"/>
      <c r="T19" s="159"/>
      <c r="U19" s="159"/>
      <c r="V19" s="160"/>
      <c r="W19" s="170"/>
      <c r="Y19" s="18" t="s">
        <v>23</v>
      </c>
      <c r="Z19" s="23">
        <f>Summary!AR36</f>
        <v>176.2</v>
      </c>
      <c r="AA19" s="23">
        <f>SUMIF($C$2:$C$37,Y19,$F$2:$F$37)+SUMIF($C$2:$C$37,Y19,$G$2:$G$37)</f>
        <v>0</v>
      </c>
      <c r="AB19" s="26">
        <f t="shared" si="0"/>
        <v>176.2</v>
      </c>
      <c r="AD19" s="18" t="s">
        <v>131</v>
      </c>
      <c r="AE19" s="23"/>
      <c r="AF19" s="20"/>
    </row>
    <row r="20" spans="1:32">
      <c r="A20" s="27"/>
      <c r="B20" s="97"/>
      <c r="C20" s="143"/>
      <c r="D20" s="158"/>
      <c r="E20" s="160"/>
      <c r="F20" s="158"/>
      <c r="G20" s="160"/>
      <c r="H20" s="159"/>
      <c r="I20" s="159"/>
      <c r="J20" s="159"/>
      <c r="K20" s="159"/>
      <c r="L20" s="159"/>
      <c r="M20" s="159"/>
      <c r="N20" s="159"/>
      <c r="O20" s="160"/>
      <c r="P20" s="158"/>
      <c r="Q20" s="159"/>
      <c r="R20" s="159"/>
      <c r="S20" s="159"/>
      <c r="T20" s="159"/>
      <c r="U20" s="159"/>
      <c r="V20" s="160"/>
      <c r="W20" s="170"/>
      <c r="Y20" s="18" t="s">
        <v>24</v>
      </c>
      <c r="Z20" s="23">
        <f>Summary!AR37</f>
        <v>500</v>
      </c>
      <c r="AA20" s="23">
        <f>SUMIF($C$2:$C$37,Y20,$F$2:$F$37)+SUMIF($C$2:$C$37,Y20,$G$2:$G$37)</f>
        <v>0</v>
      </c>
      <c r="AB20" s="26">
        <f t="shared" si="0"/>
        <v>500</v>
      </c>
      <c r="AD20" s="18" t="s">
        <v>124</v>
      </c>
      <c r="AE20" s="23"/>
      <c r="AF20" s="20"/>
    </row>
    <row r="21" spans="1:32">
      <c r="A21" s="27"/>
      <c r="B21" s="97"/>
      <c r="C21" s="143"/>
      <c r="D21" s="158"/>
      <c r="E21" s="160"/>
      <c r="F21" s="158"/>
      <c r="G21" s="160"/>
      <c r="H21" s="159"/>
      <c r="I21" s="159"/>
      <c r="J21" s="159"/>
      <c r="K21" s="159"/>
      <c r="L21" s="159"/>
      <c r="M21" s="159"/>
      <c r="N21" s="159"/>
      <c r="O21" s="160"/>
      <c r="P21" s="158"/>
      <c r="Q21" s="159"/>
      <c r="R21" s="159"/>
      <c r="S21" s="159"/>
      <c r="T21" s="159"/>
      <c r="U21" s="159"/>
      <c r="V21" s="160"/>
      <c r="W21" s="170"/>
      <c r="Y21" s="18" t="s">
        <v>25</v>
      </c>
      <c r="Z21" s="23">
        <f>Summary!AR38</f>
        <v>200</v>
      </c>
      <c r="AA21" s="23">
        <f>SUMIF($C$2:$C$37,Y21,$F$2:$F$37)+SUMIF($C$2:$C$37,Y21,$G$2:$G$37)</f>
        <v>0</v>
      </c>
      <c r="AB21" s="26">
        <f t="shared" si="0"/>
        <v>200</v>
      </c>
      <c r="AD21" s="18" t="s">
        <v>133</v>
      </c>
      <c r="AE21" s="104"/>
      <c r="AF21" s="20"/>
    </row>
    <row r="22" spans="1:32">
      <c r="A22" s="27"/>
      <c r="B22" s="97"/>
      <c r="C22" s="143"/>
      <c r="D22" s="158"/>
      <c r="E22" s="160"/>
      <c r="F22" s="158"/>
      <c r="G22" s="160"/>
      <c r="H22" s="159"/>
      <c r="I22" s="159"/>
      <c r="J22" s="159"/>
      <c r="K22" s="159"/>
      <c r="L22" s="159"/>
      <c r="M22" s="159"/>
      <c r="N22" s="159"/>
      <c r="O22" s="160"/>
      <c r="P22" s="158"/>
      <c r="Q22" s="159"/>
      <c r="R22" s="159"/>
      <c r="S22" s="159"/>
      <c r="T22" s="159"/>
      <c r="U22" s="159"/>
      <c r="V22" s="160"/>
      <c r="W22" s="170"/>
      <c r="Y22" s="18" t="s">
        <v>26</v>
      </c>
      <c r="Z22" s="23">
        <f>Summary!AR39</f>
        <v>200</v>
      </c>
      <c r="AA22" s="23">
        <f>SUMIF($C$2:$C$37,Y22,$F$2:$F$37)+SUMIF($C$2:$C$37,Y22,$G$2:$G$37)</f>
        <v>0</v>
      </c>
      <c r="AB22" s="26">
        <f>Z22+AA22</f>
        <v>200</v>
      </c>
      <c r="AD22" s="21" t="s">
        <v>29</v>
      </c>
      <c r="AE22" s="637">
        <f>SUM(AE15:AE21)</f>
        <v>0</v>
      </c>
      <c r="AF22" s="20"/>
    </row>
    <row r="23" spans="1:32">
      <c r="A23" s="94"/>
      <c r="B23" s="97"/>
      <c r="C23" s="143"/>
      <c r="D23" s="158"/>
      <c r="E23" s="160"/>
      <c r="F23" s="158"/>
      <c r="G23" s="160"/>
      <c r="H23" s="159"/>
      <c r="I23" s="159"/>
      <c r="J23" s="159"/>
      <c r="K23" s="159"/>
      <c r="L23" s="159"/>
      <c r="M23" s="159"/>
      <c r="N23" s="159"/>
      <c r="O23" s="160"/>
      <c r="P23" s="158"/>
      <c r="Q23" s="159"/>
      <c r="R23" s="159"/>
      <c r="S23" s="159"/>
      <c r="T23" s="159"/>
      <c r="U23" s="159"/>
      <c r="V23" s="159"/>
      <c r="W23" s="161"/>
      <c r="Y23" s="18" t="s">
        <v>27</v>
      </c>
      <c r="Z23" s="23">
        <f>Summary!AR40</f>
        <v>0</v>
      </c>
      <c r="AA23" s="23">
        <f>SUMIF($C$2:$C$37,Y23,$F$2:$F$37)+SUMIF($C$2:$C$37,Y23,$G$2:$G$37)</f>
        <v>0</v>
      </c>
      <c r="AB23" s="26">
        <f>Z23+AA23</f>
        <v>0</v>
      </c>
      <c r="AD23" s="124"/>
      <c r="AE23"/>
      <c r="AF23" s="125"/>
    </row>
    <row r="24" spans="1:32">
      <c r="A24" s="94"/>
      <c r="B24" s="97"/>
      <c r="C24" s="143"/>
      <c r="D24" s="158"/>
      <c r="E24" s="160"/>
      <c r="F24" s="158"/>
      <c r="G24" s="160"/>
      <c r="H24" s="159"/>
      <c r="I24" s="159"/>
      <c r="J24" s="159"/>
      <c r="K24" s="159"/>
      <c r="L24" s="159"/>
      <c r="M24" s="159"/>
      <c r="N24" s="159"/>
      <c r="O24" s="160"/>
      <c r="P24" s="158"/>
      <c r="Q24" s="159"/>
      <c r="R24" s="159"/>
      <c r="S24" s="159"/>
      <c r="T24" s="159"/>
      <c r="U24" s="159"/>
      <c r="V24" s="159"/>
      <c r="W24" s="161"/>
      <c r="Y24" s="18"/>
      <c r="Z24" s="23"/>
      <c r="AA24" s="23"/>
      <c r="AB24" s="26"/>
      <c r="AD24" s="124"/>
      <c r="AE24"/>
      <c r="AF24" s="125"/>
    </row>
    <row r="25" spans="1:32">
      <c r="A25" s="94"/>
      <c r="B25" s="97"/>
      <c r="C25" s="143"/>
      <c r="D25" s="158"/>
      <c r="E25" s="160"/>
      <c r="F25" s="158"/>
      <c r="G25" s="160"/>
      <c r="H25" s="159"/>
      <c r="I25" s="159"/>
      <c r="J25" s="159"/>
      <c r="K25" s="159"/>
      <c r="L25" s="159"/>
      <c r="M25" s="159"/>
      <c r="N25" s="159"/>
      <c r="O25" s="160"/>
      <c r="P25" s="158"/>
      <c r="Q25" s="159"/>
      <c r="R25" s="159"/>
      <c r="S25" s="159"/>
      <c r="T25" s="159"/>
      <c r="U25" s="159"/>
      <c r="V25" s="159"/>
      <c r="W25" s="161"/>
      <c r="Y25" s="18"/>
      <c r="Z25" s="23"/>
      <c r="AA25" s="23"/>
      <c r="AB25" s="26"/>
      <c r="AD25" s="124"/>
      <c r="AE25"/>
      <c r="AF25" s="125"/>
    </row>
    <row r="26" spans="1:32">
      <c r="A26" s="94"/>
      <c r="B26" s="97"/>
      <c r="C26" s="143"/>
      <c r="D26" s="158"/>
      <c r="E26" s="160"/>
      <c r="F26" s="158"/>
      <c r="G26" s="160"/>
      <c r="H26" s="159"/>
      <c r="I26" s="159"/>
      <c r="J26" s="159"/>
      <c r="K26" s="159"/>
      <c r="L26" s="159"/>
      <c r="M26" s="159"/>
      <c r="N26" s="159"/>
      <c r="O26" s="160"/>
      <c r="P26" s="158"/>
      <c r="Q26" s="159"/>
      <c r="R26" s="159"/>
      <c r="S26" s="159"/>
      <c r="T26" s="159"/>
      <c r="U26" s="159"/>
      <c r="V26" s="159"/>
      <c r="W26" s="161"/>
      <c r="Y26" s="18"/>
      <c r="Z26" s="23"/>
      <c r="AA26" s="23"/>
      <c r="AB26" s="26"/>
      <c r="AD26" s="124"/>
      <c r="AE26"/>
      <c r="AF26" s="125"/>
    </row>
    <row r="27" spans="1:32">
      <c r="A27" s="94"/>
      <c r="B27" s="97"/>
      <c r="C27" s="143"/>
      <c r="D27" s="158"/>
      <c r="E27" s="160"/>
      <c r="F27" s="158"/>
      <c r="G27" s="160"/>
      <c r="H27" s="159"/>
      <c r="I27" s="159"/>
      <c r="J27" s="159"/>
      <c r="K27" s="159"/>
      <c r="L27" s="159"/>
      <c r="M27" s="159"/>
      <c r="N27" s="159"/>
      <c r="O27" s="160"/>
      <c r="P27" s="158"/>
      <c r="Q27" s="159"/>
      <c r="R27" s="159"/>
      <c r="S27" s="159"/>
      <c r="T27" s="159"/>
      <c r="U27" s="159"/>
      <c r="V27" s="159"/>
      <c r="W27" s="161"/>
      <c r="Y27" s="18"/>
      <c r="Z27" s="23"/>
      <c r="AA27" s="23"/>
      <c r="AB27" s="26"/>
      <c r="AD27" s="124"/>
      <c r="AE27"/>
      <c r="AF27" s="125"/>
    </row>
    <row r="28" spans="1:32" ht="11.25" customHeight="1">
      <c r="A28" s="108"/>
      <c r="B28" s="93"/>
      <c r="C28" s="143"/>
      <c r="D28" s="158"/>
      <c r="E28" s="160"/>
      <c r="F28" s="158"/>
      <c r="G28" s="160"/>
      <c r="H28" s="159"/>
      <c r="I28" s="159"/>
      <c r="J28" s="159"/>
      <c r="K28" s="159"/>
      <c r="L28" s="159"/>
      <c r="M28" s="159"/>
      <c r="N28" s="159"/>
      <c r="O28" s="159"/>
      <c r="P28" s="158"/>
      <c r="Q28" s="159"/>
      <c r="R28" s="159"/>
      <c r="S28" s="159"/>
      <c r="T28" s="159"/>
      <c r="U28" s="159"/>
      <c r="V28" s="160"/>
      <c r="W28" s="170"/>
      <c r="Y28" s="18"/>
      <c r="Z28" s="23"/>
      <c r="AA28" s="23"/>
      <c r="AB28" s="26"/>
      <c r="AD28" s="124"/>
      <c r="AE28"/>
      <c r="AF28" s="125"/>
    </row>
    <row r="29" spans="1:32" ht="11.25" customHeight="1">
      <c r="A29" s="108"/>
      <c r="B29" s="93"/>
      <c r="C29" s="143"/>
      <c r="D29" s="158"/>
      <c r="E29" s="160"/>
      <c r="F29" s="158"/>
      <c r="G29" s="160"/>
      <c r="H29" s="159"/>
      <c r="I29" s="159"/>
      <c r="J29" s="159"/>
      <c r="K29" s="159"/>
      <c r="L29" s="159"/>
      <c r="M29" s="159"/>
      <c r="N29" s="159"/>
      <c r="O29" s="159"/>
      <c r="P29" s="158"/>
      <c r="Q29" s="159"/>
      <c r="R29" s="159"/>
      <c r="S29" s="159"/>
      <c r="T29" s="159"/>
      <c r="U29" s="159"/>
      <c r="V29" s="160"/>
      <c r="W29" s="170"/>
      <c r="Y29" s="18"/>
      <c r="Z29" s="23"/>
      <c r="AA29" s="23"/>
      <c r="AB29" s="26"/>
      <c r="AD29" s="124"/>
      <c r="AE29"/>
      <c r="AF29" s="125"/>
    </row>
    <row r="30" spans="1:32" ht="11.25" customHeight="1">
      <c r="A30" s="108"/>
      <c r="B30" s="93"/>
      <c r="C30" s="143"/>
      <c r="D30" s="158"/>
      <c r="E30" s="160"/>
      <c r="F30" s="158"/>
      <c r="G30" s="160"/>
      <c r="H30" s="159"/>
      <c r="I30" s="159"/>
      <c r="J30" s="159"/>
      <c r="K30" s="159"/>
      <c r="L30" s="159"/>
      <c r="M30" s="159"/>
      <c r="N30" s="159"/>
      <c r="O30" s="159"/>
      <c r="P30" s="158"/>
      <c r="Q30" s="159"/>
      <c r="R30" s="159"/>
      <c r="S30" s="159"/>
      <c r="T30" s="159"/>
      <c r="U30" s="159"/>
      <c r="V30" s="160"/>
      <c r="W30" s="170"/>
      <c r="Y30" s="18"/>
      <c r="Z30" s="23"/>
      <c r="AA30" s="23"/>
      <c r="AB30" s="26"/>
      <c r="AD30" s="124"/>
      <c r="AE30"/>
      <c r="AF30" s="125"/>
    </row>
    <row r="31" spans="1:32" ht="11.25" customHeight="1">
      <c r="A31" s="108"/>
      <c r="B31" s="93"/>
      <c r="C31" s="143"/>
      <c r="D31" s="158"/>
      <c r="E31" s="160"/>
      <c r="F31" s="158"/>
      <c r="G31" s="160"/>
      <c r="H31" s="159"/>
      <c r="I31" s="159"/>
      <c r="J31" s="159"/>
      <c r="K31" s="159"/>
      <c r="L31" s="159"/>
      <c r="M31" s="159"/>
      <c r="N31" s="159"/>
      <c r="O31" s="159"/>
      <c r="P31" s="158"/>
      <c r="Q31" s="159"/>
      <c r="R31" s="159"/>
      <c r="S31" s="159"/>
      <c r="T31" s="159"/>
      <c r="U31" s="159"/>
      <c r="V31" s="160"/>
      <c r="W31" s="170"/>
      <c r="Y31" s="18"/>
      <c r="Z31" s="23"/>
      <c r="AA31" s="23"/>
      <c r="AB31" s="26"/>
      <c r="AD31" s="124"/>
      <c r="AE31"/>
      <c r="AF31" s="125"/>
    </row>
    <row r="32" spans="1:32" ht="11.25" customHeight="1">
      <c r="A32" s="108"/>
      <c r="B32" s="97"/>
      <c r="C32" s="143"/>
      <c r="D32" s="158"/>
      <c r="E32" s="160"/>
      <c r="F32" s="158"/>
      <c r="G32" s="160"/>
      <c r="H32" s="159"/>
      <c r="I32" s="159"/>
      <c r="J32" s="159"/>
      <c r="K32" s="159"/>
      <c r="L32" s="159"/>
      <c r="M32" s="159"/>
      <c r="N32" s="159"/>
      <c r="O32" s="159"/>
      <c r="P32" s="158"/>
      <c r="Q32" s="159"/>
      <c r="R32" s="159"/>
      <c r="S32" s="159"/>
      <c r="T32" s="159"/>
      <c r="U32" s="159"/>
      <c r="V32" s="160"/>
      <c r="W32" s="170"/>
      <c r="Y32" s="18"/>
      <c r="Z32" s="23"/>
      <c r="AA32" s="23"/>
      <c r="AB32" s="26"/>
      <c r="AD32" s="124"/>
      <c r="AE32"/>
      <c r="AF32" s="125"/>
    </row>
    <row r="33" spans="1:32" ht="11.25" customHeight="1">
      <c r="A33" s="108"/>
      <c r="B33" s="97"/>
      <c r="C33" s="143"/>
      <c r="D33" s="158"/>
      <c r="E33" s="160"/>
      <c r="F33" s="158"/>
      <c r="G33" s="160"/>
      <c r="H33" s="159"/>
      <c r="I33" s="159"/>
      <c r="J33" s="159"/>
      <c r="K33" s="159"/>
      <c r="L33" s="159"/>
      <c r="M33" s="159"/>
      <c r="N33" s="159"/>
      <c r="O33" s="159"/>
      <c r="P33" s="158"/>
      <c r="Q33" s="159"/>
      <c r="R33" s="159"/>
      <c r="S33" s="159"/>
      <c r="T33" s="159"/>
      <c r="U33" s="159"/>
      <c r="V33" s="160"/>
      <c r="W33" s="170"/>
      <c r="Y33" s="18"/>
      <c r="Z33" s="23"/>
      <c r="AA33" s="23"/>
      <c r="AB33" s="26"/>
      <c r="AD33" s="124"/>
      <c r="AE33"/>
      <c r="AF33" s="125"/>
    </row>
    <row r="34" spans="1:32" ht="11.25" customHeight="1">
      <c r="A34" s="108"/>
      <c r="B34" s="97"/>
      <c r="C34" s="143"/>
      <c r="D34" s="158"/>
      <c r="E34" s="160"/>
      <c r="F34" s="158"/>
      <c r="G34" s="160"/>
      <c r="H34" s="159"/>
      <c r="I34" s="159"/>
      <c r="J34" s="159"/>
      <c r="K34" s="159"/>
      <c r="L34" s="159"/>
      <c r="M34" s="159"/>
      <c r="N34" s="159"/>
      <c r="O34" s="159"/>
      <c r="P34" s="158"/>
      <c r="Q34" s="159"/>
      <c r="R34" s="159"/>
      <c r="S34" s="159"/>
      <c r="T34" s="159"/>
      <c r="U34" s="159"/>
      <c r="V34" s="160"/>
      <c r="W34" s="170"/>
      <c r="Y34" s="18"/>
      <c r="Z34" s="23"/>
      <c r="AA34" s="23"/>
      <c r="AB34" s="26"/>
      <c r="AD34" s="124"/>
      <c r="AE34"/>
      <c r="AF34" s="125"/>
    </row>
    <row r="35" spans="1:32" ht="11.25" customHeight="1">
      <c r="A35" s="108"/>
      <c r="B35" s="97"/>
      <c r="C35" s="143"/>
      <c r="D35" s="158"/>
      <c r="E35" s="160"/>
      <c r="F35" s="158"/>
      <c r="G35" s="160"/>
      <c r="H35" s="159"/>
      <c r="I35" s="159"/>
      <c r="J35" s="159"/>
      <c r="K35" s="159"/>
      <c r="L35" s="159"/>
      <c r="M35" s="159"/>
      <c r="N35" s="159"/>
      <c r="O35" s="159"/>
      <c r="P35" s="158"/>
      <c r="Q35" s="159"/>
      <c r="R35" s="159"/>
      <c r="S35" s="159"/>
      <c r="T35" s="159"/>
      <c r="U35" s="159"/>
      <c r="V35" s="160"/>
      <c r="W35" s="170"/>
      <c r="Y35" s="18"/>
      <c r="Z35" s="23"/>
      <c r="AA35" s="23"/>
      <c r="AB35" s="26"/>
      <c r="AD35" s="124"/>
      <c r="AE35"/>
      <c r="AF35" s="125"/>
    </row>
    <row r="36" spans="1:32" ht="11.25" customHeight="1">
      <c r="A36" s="108"/>
      <c r="B36" s="97"/>
      <c r="C36" s="143"/>
      <c r="D36" s="158"/>
      <c r="E36" s="160"/>
      <c r="F36" s="158"/>
      <c r="G36" s="160"/>
      <c r="H36" s="159"/>
      <c r="I36" s="159"/>
      <c r="J36" s="159"/>
      <c r="K36" s="159"/>
      <c r="L36" s="159"/>
      <c r="M36" s="159"/>
      <c r="N36" s="159"/>
      <c r="O36" s="159"/>
      <c r="P36" s="158"/>
      <c r="Q36" s="159"/>
      <c r="R36" s="159"/>
      <c r="S36" s="159"/>
      <c r="T36" s="159"/>
      <c r="U36" s="159"/>
      <c r="V36" s="160"/>
      <c r="W36" s="170"/>
      <c r="Y36" s="18"/>
      <c r="Z36" s="23"/>
      <c r="AA36" s="23"/>
      <c r="AB36" s="26"/>
      <c r="AD36" s="124"/>
      <c r="AE36"/>
      <c r="AF36" s="125"/>
    </row>
    <row r="37" spans="1:32">
      <c r="A37" s="28"/>
      <c r="B37" s="98"/>
      <c r="C37" s="144"/>
      <c r="D37" s="152"/>
      <c r="E37" s="154"/>
      <c r="F37" s="152"/>
      <c r="G37" s="154"/>
      <c r="H37" s="153"/>
      <c r="I37" s="153"/>
      <c r="J37" s="153"/>
      <c r="K37" s="153"/>
      <c r="L37" s="153"/>
      <c r="M37" s="153"/>
      <c r="N37" s="153"/>
      <c r="O37" s="154"/>
      <c r="P37" s="152"/>
      <c r="Q37" s="153"/>
      <c r="R37" s="153"/>
      <c r="S37" s="153"/>
      <c r="T37" s="153"/>
      <c r="U37" s="153"/>
      <c r="V37" s="154"/>
      <c r="W37" s="172"/>
      <c r="Y37" s="18"/>
      <c r="Z37" s="23"/>
      <c r="AA37" s="23"/>
      <c r="AB37" s="26"/>
      <c r="AD37" s="124"/>
      <c r="AE37"/>
      <c r="AF37" s="125"/>
    </row>
    <row r="38" spans="1:32">
      <c r="A38" s="29"/>
      <c r="B38" s="99"/>
      <c r="C38" s="145"/>
      <c r="D38" s="147"/>
      <c r="E38" s="149"/>
      <c r="F38" s="147"/>
      <c r="G38" s="149"/>
      <c r="H38" s="148"/>
      <c r="I38" s="148"/>
      <c r="J38" s="148"/>
      <c r="K38" s="148"/>
      <c r="L38" s="148"/>
      <c r="M38" s="148"/>
      <c r="N38" s="148"/>
      <c r="O38" s="148"/>
      <c r="P38" s="147"/>
      <c r="Q38" s="148"/>
      <c r="R38" s="148"/>
      <c r="S38" s="148"/>
      <c r="T38" s="148"/>
      <c r="U38" s="148"/>
      <c r="V38" s="149"/>
      <c r="W38" s="150"/>
      <c r="Y38" s="30"/>
      <c r="Z38" s="48"/>
      <c r="AA38" s="48"/>
      <c r="AB38" s="49"/>
      <c r="AD38" s="126"/>
      <c r="AE38" s="127"/>
      <c r="AF38" s="128"/>
    </row>
    <row r="39" spans="1:32">
      <c r="A39" s="31" t="s">
        <v>134</v>
      </c>
      <c r="B39" s="31"/>
      <c r="C39" s="146"/>
      <c r="D39" s="173">
        <f>SUM(D3:D38)</f>
        <v>0</v>
      </c>
      <c r="E39" s="173">
        <f>SUM(E3:E38)</f>
        <v>0</v>
      </c>
      <c r="F39" s="174">
        <f>SUM(F3:F38)</f>
        <v>0</v>
      </c>
      <c r="G39" s="174">
        <f>SUM(G3:G38)</f>
        <v>0</v>
      </c>
      <c r="H39" s="173">
        <f>SUM(H3:H38)</f>
        <v>0</v>
      </c>
      <c r="I39" s="173">
        <f>SUM(I3:I38)</f>
        <v>0</v>
      </c>
      <c r="J39" s="173">
        <f>SUM(J3:J38)</f>
        <v>0</v>
      </c>
      <c r="K39" s="173">
        <f>SUM(K3:K38)</f>
        <v>0</v>
      </c>
      <c r="L39" s="173">
        <f>SUM(L3:L38)</f>
        <v>0</v>
      </c>
      <c r="M39" s="173">
        <f>SUM(M3:M38)</f>
        <v>0</v>
      </c>
      <c r="N39" s="173">
        <f>SUM(N3:N38)</f>
        <v>0</v>
      </c>
      <c r="O39" s="173">
        <f>SUM(O3:O38)</f>
        <v>0</v>
      </c>
      <c r="P39" s="173">
        <f>SUM(P3:P38)</f>
        <v>0</v>
      </c>
      <c r="Q39" s="173">
        <f>SUM(Q3:Q38)</f>
        <v>0</v>
      </c>
      <c r="R39" s="173">
        <f>SUM(R3:R38)</f>
        <v>0</v>
      </c>
      <c r="S39" s="173">
        <f>SUM(S3:S38)</f>
        <v>0</v>
      </c>
      <c r="T39" s="173">
        <f>SUM(T3:T38)</f>
        <v>0</v>
      </c>
      <c r="U39" s="173">
        <f>SUM(U3:U38)</f>
        <v>0</v>
      </c>
      <c r="V39" s="173">
        <f>SUM(V3:V38)</f>
        <v>0</v>
      </c>
      <c r="W39" s="173">
        <f>SUM(W3:W38)</f>
        <v>0</v>
      </c>
      <c r="Y39" s="100" t="s">
        <v>29</v>
      </c>
      <c r="Z39" s="32">
        <f>SUM(Z4:Z37)</f>
        <v>11831.2</v>
      </c>
      <c r="AA39" s="32">
        <f>SUM(AA4:AA37)</f>
        <v>0</v>
      </c>
      <c r="AB39" s="101">
        <f>SUM(AB4:AB37)</f>
        <v>11831.2</v>
      </c>
      <c r="AC39" s="11"/>
      <c r="AD39" s="100"/>
      <c r="AE39" s="57"/>
      <c r="AF39" s="102"/>
    </row>
    <row r="40" spans="1:32">
      <c r="A40" s="31"/>
      <c r="B40" s="31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Y40" s="31"/>
      <c r="Z40" s="95"/>
      <c r="AA40" s="95"/>
      <c r="AB40" s="95"/>
      <c r="AD40" s="31"/>
      <c r="AE40" s="24"/>
    </row>
    <row r="41" spans="1:32">
      <c r="A41" s="31"/>
      <c r="B41" s="31"/>
      <c r="C41"/>
      <c r="D41"/>
      <c r="E41"/>
      <c r="F41"/>
      <c r="G41"/>
      <c r="H41"/>
      <c r="I41"/>
      <c r="J41"/>
      <c r="K41"/>
      <c r="L41"/>
      <c r="M41"/>
      <c r="Q41" s="111"/>
      <c r="R41" s="96"/>
      <c r="S41" s="96"/>
      <c r="T41" s="96"/>
      <c r="U41" s="96"/>
      <c r="V41" s="96"/>
      <c r="W41" s="96"/>
      <c r="Y41" s="31"/>
      <c r="Z41" s="95"/>
      <c r="AA41" s="95"/>
      <c r="AB41" s="95"/>
      <c r="AD41" s="31"/>
      <c r="AE41" s="24"/>
    </row>
    <row r="42" spans="1:32">
      <c r="A42"/>
      <c r="B42"/>
      <c r="C42"/>
      <c r="D42"/>
      <c r="E42"/>
      <c r="F42" s="1"/>
      <c r="G42" s="1"/>
      <c r="H42"/>
      <c r="I42"/>
      <c r="J42"/>
      <c r="K42"/>
      <c r="L42"/>
      <c r="M42" s="134"/>
      <c r="N42"/>
      <c r="O42"/>
      <c r="P42"/>
      <c r="Q42"/>
    </row>
    <row r="43" spans="1:32">
      <c r="A43"/>
      <c r="B43"/>
      <c r="C43"/>
      <c r="D43"/>
      <c r="E43"/>
      <c r="F43" s="1"/>
      <c r="G43" s="1"/>
      <c r="H43"/>
      <c r="I43"/>
      <c r="J43"/>
      <c r="K43"/>
      <c r="L43"/>
      <c r="M43"/>
      <c r="N43"/>
      <c r="O43"/>
      <c r="P43"/>
      <c r="Q43"/>
    </row>
    <row r="44" spans="1:32">
      <c r="A44"/>
      <c r="B44"/>
      <c r="C44"/>
      <c r="D44"/>
      <c r="E44"/>
      <c r="F44" s="110"/>
      <c r="G44" s="110"/>
      <c r="H44"/>
      <c r="I44"/>
      <c r="J44"/>
      <c r="K44"/>
      <c r="L44"/>
      <c r="M44"/>
      <c r="N44"/>
      <c r="O44"/>
      <c r="P44"/>
      <c r="Q44"/>
      <c r="W44" s="638">
        <f>SUM(D39:W39)</f>
        <v>0</v>
      </c>
    </row>
    <row r="45" spans="1:3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3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V46" s="35"/>
      <c r="W46" s="36"/>
      <c r="X46" s="37"/>
      <c r="Y46" s="38" t="s">
        <v>135</v>
      </c>
    </row>
    <row r="47" spans="1:3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V47" s="39" t="s">
        <v>136</v>
      </c>
      <c r="W47" s="40">
        <f>SUM(H39:O39)</f>
        <v>0</v>
      </c>
      <c r="X47" s="37"/>
      <c r="Y47" s="41" t="e">
        <f>W47/W50</f>
        <v>#DIV/0!</v>
      </c>
    </row>
    <row r="48" spans="1:3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V48" s="39" t="s">
        <v>137</v>
      </c>
      <c r="W48" s="40">
        <f>SUM(P39:W39)</f>
        <v>0</v>
      </c>
      <c r="X48" s="37"/>
      <c r="Y48" s="41" t="e">
        <f>W48/W50</f>
        <v>#DIV/0!</v>
      </c>
    </row>
    <row r="49" spans="1: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V49" s="39" t="s">
        <v>138</v>
      </c>
      <c r="W49" s="42">
        <f>E39+D39</f>
        <v>0</v>
      </c>
      <c r="X49" s="37"/>
      <c r="Y49" s="41" t="e">
        <f>W49/W50</f>
        <v>#DIV/0!</v>
      </c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V50" s="39" t="s">
        <v>56</v>
      </c>
      <c r="W50" s="639">
        <f>SUM(W47:W49)</f>
        <v>0</v>
      </c>
      <c r="X50" s="37"/>
      <c r="Y50" s="43"/>
    </row>
    <row r="51" spans="1: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V51" s="35"/>
      <c r="W51" s="36"/>
      <c r="X51" s="37"/>
      <c r="Y51" s="37"/>
    </row>
    <row r="52" spans="1: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V52" s="35"/>
      <c r="W52" s="44">
        <f>W50-W44</f>
        <v>0</v>
      </c>
      <c r="X52" s="37"/>
      <c r="Y52" s="37"/>
    </row>
    <row r="53" spans="1: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25">
      <c r="A57"/>
      <c r="B57"/>
      <c r="G57"/>
      <c r="H57"/>
      <c r="I57"/>
      <c r="J57"/>
      <c r="K57"/>
      <c r="L57"/>
      <c r="M57"/>
      <c r="N57"/>
      <c r="O57"/>
      <c r="P57"/>
      <c r="Q57"/>
    </row>
    <row r="58" spans="1:25">
      <c r="A58"/>
      <c r="B58"/>
      <c r="G58"/>
      <c r="H58"/>
      <c r="I58"/>
      <c r="J58"/>
      <c r="K58"/>
      <c r="L58"/>
      <c r="M58"/>
      <c r="N58"/>
      <c r="O58"/>
      <c r="P58"/>
      <c r="Q58"/>
    </row>
    <row r="59" spans="1:25">
      <c r="A59"/>
      <c r="B59"/>
      <c r="G59"/>
      <c r="H59"/>
      <c r="I59"/>
      <c r="J59"/>
      <c r="K59"/>
      <c r="L59"/>
      <c r="M59"/>
      <c r="N59"/>
      <c r="O59"/>
      <c r="P59"/>
      <c r="Q59"/>
    </row>
    <row r="60" spans="1:25">
      <c r="A60"/>
      <c r="B60"/>
      <c r="C60"/>
      <c r="G60"/>
      <c r="H60"/>
      <c r="I60"/>
      <c r="J60"/>
      <c r="K60"/>
      <c r="L60"/>
      <c r="M60"/>
      <c r="N60"/>
      <c r="O60"/>
      <c r="P60"/>
      <c r="Q60"/>
    </row>
    <row r="61" spans="1:25">
      <c r="A61"/>
      <c r="B61"/>
      <c r="G61"/>
      <c r="H61"/>
      <c r="I61"/>
      <c r="J61"/>
      <c r="K61"/>
      <c r="L61"/>
      <c r="M61"/>
      <c r="N61"/>
      <c r="O61"/>
      <c r="P61"/>
      <c r="Q61"/>
    </row>
    <row r="62" spans="1:25">
      <c r="A62"/>
      <c r="B62"/>
      <c r="G62"/>
      <c r="H62"/>
      <c r="I62"/>
      <c r="J62"/>
      <c r="K62"/>
      <c r="L62"/>
      <c r="M62"/>
      <c r="N62"/>
      <c r="O62"/>
      <c r="P62"/>
      <c r="Q62"/>
    </row>
    <row r="63" spans="1:25">
      <c r="A63"/>
      <c r="B63"/>
      <c r="G63"/>
      <c r="H63"/>
      <c r="I63"/>
      <c r="J63"/>
      <c r="K63"/>
      <c r="L63"/>
      <c r="M63"/>
      <c r="N63"/>
      <c r="O63"/>
      <c r="P63"/>
      <c r="Q63"/>
    </row>
    <row r="64" spans="1:25">
      <c r="A64"/>
      <c r="B64"/>
      <c r="G64"/>
      <c r="H64"/>
      <c r="I64"/>
      <c r="J64"/>
      <c r="K64"/>
      <c r="L64"/>
      <c r="M64"/>
      <c r="N64"/>
      <c r="O64"/>
      <c r="P64"/>
      <c r="Q64"/>
    </row>
    <row r="65" spans="1:17">
      <c r="A65"/>
      <c r="B65"/>
      <c r="G65"/>
      <c r="H65"/>
      <c r="I65"/>
      <c r="J65"/>
      <c r="K65"/>
      <c r="L65"/>
      <c r="M65"/>
      <c r="N65"/>
      <c r="O65"/>
      <c r="P65"/>
      <c r="Q65"/>
    </row>
    <row r="66" spans="1:1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>
      <c r="B67"/>
      <c r="C67"/>
      <c r="D67"/>
      <c r="E67"/>
      <c r="F67"/>
      <c r="G67"/>
      <c r="H67"/>
      <c r="I67"/>
      <c r="J67"/>
      <c r="K67"/>
      <c r="L67"/>
      <c r="M67"/>
    </row>
    <row r="68" spans="1:17">
      <c r="B68"/>
      <c r="C68"/>
      <c r="D68"/>
      <c r="E68"/>
      <c r="F68"/>
      <c r="G68"/>
      <c r="H68"/>
      <c r="I68"/>
      <c r="J68"/>
      <c r="K68"/>
      <c r="L68"/>
      <c r="M68"/>
    </row>
    <row r="69" spans="1:17">
      <c r="B69"/>
      <c r="C69"/>
      <c r="D69"/>
      <c r="E69"/>
      <c r="F69"/>
      <c r="G69"/>
      <c r="H69"/>
      <c r="I69"/>
      <c r="J69"/>
      <c r="K69"/>
      <c r="L69"/>
      <c r="M69"/>
    </row>
    <row r="70" spans="1:17">
      <c r="B70"/>
      <c r="C70"/>
      <c r="D70"/>
      <c r="E70"/>
      <c r="F70"/>
      <c r="G70"/>
      <c r="H70"/>
      <c r="I70"/>
      <c r="J70"/>
      <c r="K70"/>
      <c r="L70"/>
      <c r="M70"/>
    </row>
    <row r="71" spans="1:17">
      <c r="B71"/>
      <c r="C71"/>
      <c r="D71"/>
      <c r="E71"/>
      <c r="F71"/>
      <c r="G71"/>
      <c r="H71"/>
      <c r="I71"/>
      <c r="J71"/>
      <c r="K71"/>
      <c r="L71"/>
      <c r="M71"/>
    </row>
    <row r="72" spans="1:17">
      <c r="B72"/>
      <c r="C72"/>
      <c r="D72"/>
      <c r="E72"/>
      <c r="F72"/>
      <c r="G72"/>
      <c r="H72"/>
      <c r="I72"/>
      <c r="J72"/>
      <c r="K72"/>
      <c r="L72"/>
      <c r="M72"/>
    </row>
    <row r="73" spans="1:17">
      <c r="B73"/>
      <c r="C73"/>
      <c r="D73"/>
      <c r="E73"/>
      <c r="F73"/>
      <c r="G73"/>
    </row>
    <row r="74" spans="1:17">
      <c r="B74"/>
      <c r="C74"/>
      <c r="D74"/>
      <c r="E74"/>
      <c r="F74"/>
      <c r="G74"/>
    </row>
    <row r="75" spans="1:17">
      <c r="B75"/>
      <c r="C75"/>
      <c r="D75"/>
      <c r="E75"/>
      <c r="F75"/>
      <c r="G75"/>
    </row>
    <row r="76" spans="1:17">
      <c r="B76"/>
      <c r="C76"/>
      <c r="D76"/>
      <c r="E76"/>
      <c r="F76"/>
      <c r="G76"/>
    </row>
    <row r="77" spans="1:17">
      <c r="B77"/>
      <c r="C77"/>
      <c r="D77"/>
      <c r="E77"/>
      <c r="F77"/>
      <c r="G77"/>
    </row>
    <row r="78" spans="1:17">
      <c r="B78"/>
      <c r="C78"/>
      <c r="D78"/>
      <c r="E78"/>
      <c r="F78"/>
      <c r="G78"/>
    </row>
    <row r="79" spans="1:17">
      <c r="B79"/>
      <c r="C79"/>
      <c r="D79"/>
      <c r="E79"/>
      <c r="F79"/>
      <c r="G79"/>
    </row>
    <row r="80" spans="1:17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23"/>
  <sheetViews>
    <sheetView zoomScale="85" zoomScaleNormal="85" zoomScalePageLayoutView="85" workbookViewId="0">
      <selection activeCell="O18" sqref="O18"/>
    </sheetView>
  </sheetViews>
  <sheetFormatPr defaultColWidth="8.85546875" defaultRowHeight="12.75"/>
  <cols>
    <col min="1" max="1" width="10.42578125" style="2" customWidth="1"/>
    <col min="2" max="2" width="33.85546875" style="2" customWidth="1"/>
    <col min="3" max="3" width="16.85546875" style="2" customWidth="1"/>
    <col min="4" max="4" width="12.28515625" style="2" customWidth="1"/>
    <col min="5" max="5" width="10" style="2" customWidth="1"/>
    <col min="6" max="6" width="12.28515625" style="2" customWidth="1"/>
    <col min="7" max="7" width="8.140625" style="2" bestFit="1" customWidth="1"/>
    <col min="8" max="8" width="11.7109375" style="105" bestFit="1" customWidth="1"/>
    <col min="9" max="9" width="11.42578125" style="105" customWidth="1"/>
    <col min="10" max="10" width="12.42578125" style="105" bestFit="1" customWidth="1"/>
    <col min="11" max="13" width="11.28515625" style="105" bestFit="1" customWidth="1"/>
    <col min="14" max="14" width="10" style="105" bestFit="1" customWidth="1"/>
    <col min="15" max="15" width="11.7109375" style="105" bestFit="1" customWidth="1"/>
    <col min="16" max="17" width="11.28515625" style="105" bestFit="1" customWidth="1"/>
    <col min="18" max="18" width="11.42578125" style="105" bestFit="1" customWidth="1"/>
    <col min="19" max="21" width="11.42578125" style="105" customWidth="1"/>
    <col min="22" max="22" width="13.140625" style="105" customWidth="1"/>
    <col min="23" max="23" width="14.28515625" style="33" bestFit="1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3" t="s">
        <v>91</v>
      </c>
      <c r="B2" s="31" t="s">
        <v>114</v>
      </c>
      <c r="C2" s="63" t="s">
        <v>115</v>
      </c>
      <c r="D2" s="137" t="s">
        <v>116</v>
      </c>
      <c r="E2" s="138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206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176"/>
      <c r="B3" s="177"/>
      <c r="C3" s="218"/>
      <c r="D3" s="180"/>
      <c r="E3" s="181"/>
      <c r="F3" s="182"/>
      <c r="G3" s="181"/>
      <c r="H3" s="180"/>
      <c r="I3" s="180"/>
      <c r="J3" s="180"/>
      <c r="K3" s="180"/>
      <c r="L3" s="180"/>
      <c r="M3" s="180"/>
      <c r="N3" s="180"/>
      <c r="O3" s="180"/>
      <c r="P3" s="179"/>
      <c r="Q3" s="180"/>
      <c r="R3" s="180"/>
      <c r="S3" s="180"/>
      <c r="T3" s="180"/>
      <c r="U3" s="180"/>
      <c r="V3" s="181"/>
      <c r="W3" s="207"/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184"/>
      <c r="B4" s="185"/>
      <c r="C4" s="151"/>
      <c r="D4" s="188"/>
      <c r="E4" s="188"/>
      <c r="F4" s="189"/>
      <c r="G4" s="190"/>
      <c r="H4" s="188"/>
      <c r="I4" s="188"/>
      <c r="J4" s="188"/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208"/>
      <c r="Y4" s="18" t="s">
        <v>8</v>
      </c>
      <c r="Z4" s="23">
        <f>Summary!AO21</f>
        <v>350</v>
      </c>
      <c r="AA4" s="23">
        <f>SUMIF($C$2:$C$34,Y4,$F$2:$F$34)+SUMIF($C$2:$C$34,Y4,$G$2:$G$34)</f>
        <v>0</v>
      </c>
      <c r="AB4" s="26">
        <f t="shared" ref="AB4:AB21" si="0">Z4+AA4</f>
        <v>350</v>
      </c>
      <c r="AD4" s="18"/>
      <c r="AE4" s="19"/>
      <c r="AF4" s="103"/>
    </row>
    <row r="5" spans="1:33">
      <c r="A5" s="184"/>
      <c r="B5" s="129"/>
      <c r="C5" s="151"/>
      <c r="D5" s="188"/>
      <c r="E5" s="188"/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208"/>
      <c r="Y5" s="18" t="s">
        <v>9</v>
      </c>
      <c r="Z5" s="23">
        <f>Summary!AO22</f>
        <v>335</v>
      </c>
      <c r="AA5" s="23">
        <f>SUMIF($C$2:$C$34,Y5,$F$2:$F$34)+SUMIF($C$2:$C$34,Y5,$G$2:$G$34)</f>
        <v>0</v>
      </c>
      <c r="AB5" s="26">
        <f t="shared" si="0"/>
        <v>335</v>
      </c>
      <c r="AD5" s="21" t="s">
        <v>128</v>
      </c>
      <c r="AE5" s="19"/>
      <c r="AF5" s="20"/>
    </row>
    <row r="6" spans="1:33">
      <c r="A6" s="184"/>
      <c r="B6" s="129"/>
      <c r="C6" s="186"/>
      <c r="D6" s="187"/>
      <c r="E6" s="188"/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3"/>
      <c r="W6" s="208"/>
      <c r="Y6" s="18" t="s">
        <v>10</v>
      </c>
      <c r="Z6" s="23">
        <f>Summary!AO23</f>
        <v>0</v>
      </c>
      <c r="AA6" s="23">
        <f>SUMIF($C$2:$C$34,Y6,$F$2:$F$34)+SUMIF($C$2:$C$34,Y6,$G$2:$G$34)</f>
        <v>0</v>
      </c>
      <c r="AB6" s="26">
        <f t="shared" si="0"/>
        <v>0</v>
      </c>
      <c r="AD6" s="18" t="s">
        <v>49</v>
      </c>
      <c r="AE6" s="22"/>
      <c r="AF6" s="20"/>
    </row>
    <row r="7" spans="1:33">
      <c r="A7" s="184"/>
      <c r="B7" s="129"/>
      <c r="C7" s="151"/>
      <c r="D7" s="188"/>
      <c r="E7" s="188"/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208"/>
      <c r="Y7" s="47" t="s">
        <v>11</v>
      </c>
      <c r="Z7" s="23">
        <f>Summary!AO24</f>
        <v>20</v>
      </c>
      <c r="AA7" s="23">
        <f>SUMIF($C$2:$C$34,Y7,$F$2:$F$34)+SUMIF($C$2:$C$34,Y7,$G$2:$G$34)</f>
        <v>0</v>
      </c>
      <c r="AB7" s="26">
        <f t="shared" si="0"/>
        <v>20</v>
      </c>
      <c r="AD7" s="18" t="s">
        <v>129</v>
      </c>
      <c r="AE7" s="23"/>
      <c r="AF7" s="20"/>
    </row>
    <row r="8" spans="1:33">
      <c r="A8" s="184"/>
      <c r="B8" s="129"/>
      <c r="C8" s="151"/>
      <c r="D8" s="188"/>
      <c r="E8" s="188"/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93"/>
      <c r="W8" s="208"/>
      <c r="Y8" s="18" t="s">
        <v>12</v>
      </c>
      <c r="Z8" s="23">
        <f>Summary!AO25</f>
        <v>700</v>
      </c>
      <c r="AA8" s="23">
        <f>SUMIF($C$2:$C$34,Y8,$F$2:$F$34)+SUMIF($C$2:$C$34,Y8,$G$2:$G$34)</f>
        <v>0</v>
      </c>
      <c r="AB8" s="26">
        <f t="shared" si="0"/>
        <v>700</v>
      </c>
      <c r="AD8" s="18" t="s">
        <v>111</v>
      </c>
      <c r="AE8" s="23"/>
      <c r="AF8" s="20"/>
    </row>
    <row r="9" spans="1:33">
      <c r="A9" s="184"/>
      <c r="B9" s="129"/>
      <c r="C9" s="151"/>
      <c r="D9" s="188"/>
      <c r="E9" s="188"/>
      <c r="F9" s="187"/>
      <c r="G9" s="193"/>
      <c r="H9" s="188"/>
      <c r="I9" s="188"/>
      <c r="J9" s="188"/>
      <c r="K9" s="188"/>
      <c r="L9" s="188"/>
      <c r="M9" s="188"/>
      <c r="N9" s="188"/>
      <c r="O9" s="188"/>
      <c r="P9" s="187"/>
      <c r="Q9" s="188"/>
      <c r="R9" s="188"/>
      <c r="S9" s="188"/>
      <c r="T9" s="188"/>
      <c r="U9" s="188"/>
      <c r="V9" s="194"/>
      <c r="W9" s="208"/>
      <c r="Y9" s="18" t="s">
        <v>13</v>
      </c>
      <c r="Z9" s="23">
        <f>Summary!AO26</f>
        <v>1300</v>
      </c>
      <c r="AA9" s="23">
        <f>SUMIF($C$2:$C$34,Y9,$F$2:$F$34)+SUMIF($C$2:$C$34,Y9,$G$2:$G$34)</f>
        <v>0</v>
      </c>
      <c r="AB9" s="26">
        <f t="shared" si="0"/>
        <v>1300</v>
      </c>
      <c r="AD9" s="18" t="s">
        <v>130</v>
      </c>
      <c r="AE9" s="22"/>
      <c r="AF9" s="20"/>
    </row>
    <row r="10" spans="1:33">
      <c r="A10" s="184"/>
      <c r="B10" s="129"/>
      <c r="C10" s="151"/>
      <c r="D10" s="188"/>
      <c r="E10" s="188"/>
      <c r="F10" s="187"/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208"/>
      <c r="Y10" s="18" t="s">
        <v>14</v>
      </c>
      <c r="Z10" s="23">
        <f>Summary!AO27</f>
        <v>150</v>
      </c>
      <c r="AA10" s="23">
        <f>SUMIF($C$2:$C$34,Y10,$F$2:$F$34)+SUMIF($C$2:$C$34,Y10,$G$2:$G$34)</f>
        <v>0</v>
      </c>
      <c r="AB10" s="26">
        <f t="shared" si="0"/>
        <v>150</v>
      </c>
      <c r="AD10" s="18" t="s">
        <v>131</v>
      </c>
      <c r="AE10" s="22"/>
      <c r="AF10" s="20"/>
    </row>
    <row r="11" spans="1:33">
      <c r="A11" s="184"/>
      <c r="B11" s="129"/>
      <c r="C11" s="151"/>
      <c r="D11" s="188"/>
      <c r="E11" s="188"/>
      <c r="F11" s="187"/>
      <c r="G11" s="193"/>
      <c r="H11" s="188"/>
      <c r="I11" s="188"/>
      <c r="J11" s="188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208"/>
      <c r="Y11" s="18" t="s">
        <v>15</v>
      </c>
      <c r="Z11" s="23">
        <f>Summary!AO28</f>
        <v>200</v>
      </c>
      <c r="AA11" s="23">
        <f>SUMIF($C$2:$C$34,Y11,$F$2:$F$34)+SUMIF($C$2:$C$34,Y11,$G$2:$G$34)</f>
        <v>0</v>
      </c>
      <c r="AB11" s="26">
        <f>Z11+AA11</f>
        <v>200</v>
      </c>
      <c r="AD11" s="18" t="s">
        <v>124</v>
      </c>
      <c r="AE11" s="22"/>
      <c r="AF11" s="20"/>
    </row>
    <row r="12" spans="1:33">
      <c r="A12" s="184"/>
      <c r="B12" s="129"/>
      <c r="C12" s="151"/>
      <c r="D12" s="188"/>
      <c r="E12" s="188"/>
      <c r="F12" s="187"/>
      <c r="G12" s="193"/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208"/>
      <c r="Y12" s="18" t="s">
        <v>16</v>
      </c>
      <c r="Z12" s="23">
        <f>Summary!AO29</f>
        <v>500</v>
      </c>
      <c r="AA12" s="23">
        <f>SUMIF($C$2:$C$34,Y12,$F$2:$F$34)+SUMIF($C$2:$C$34,Y12,$G$2:$G$34)</f>
        <v>0</v>
      </c>
      <c r="AB12" s="26">
        <f>Z12+AA12</f>
        <v>500</v>
      </c>
      <c r="AD12" s="21" t="s">
        <v>29</v>
      </c>
      <c r="AE12" s="637">
        <f>SUM(AE6:AE11)</f>
        <v>0</v>
      </c>
      <c r="AF12" s="20"/>
    </row>
    <row r="13" spans="1:33">
      <c r="A13" s="184"/>
      <c r="B13" s="129"/>
      <c r="C13" s="151"/>
      <c r="D13" s="188"/>
      <c r="E13" s="188"/>
      <c r="F13" s="187"/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208"/>
      <c r="Y13" s="18" t="s">
        <v>17</v>
      </c>
      <c r="Z13" s="23">
        <f>Summary!AO30</f>
        <v>1000</v>
      </c>
      <c r="AA13" s="23">
        <f>SUMIF($C$2:$C$34,Y13,$F$2:$F$34)+SUMIF($C$2:$C$34,Y13,$G$2:$G$34)</f>
        <v>0</v>
      </c>
      <c r="AB13" s="26">
        <f t="shared" si="0"/>
        <v>1000</v>
      </c>
      <c r="AD13" s="18"/>
      <c r="AE13" s="24"/>
      <c r="AF13" s="20"/>
    </row>
    <row r="14" spans="1:33">
      <c r="A14" s="184"/>
      <c r="B14" s="129"/>
      <c r="C14" s="151"/>
      <c r="D14" s="188"/>
      <c r="E14" s="188"/>
      <c r="F14" s="187"/>
      <c r="G14" s="193"/>
      <c r="H14" s="188"/>
      <c r="I14" s="188"/>
      <c r="J14" s="188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208"/>
      <c r="Y14" s="18" t="s">
        <v>18</v>
      </c>
      <c r="Z14" s="23">
        <f>Summary!AO31</f>
        <v>200</v>
      </c>
      <c r="AA14" s="23">
        <f>SUMIF($C$2:$C$34,Y14,$F$2:$F$34)+SUMIF($C$2:$C$34,Y14,$G$2:$G$34)</f>
        <v>0</v>
      </c>
      <c r="AB14" s="26">
        <f t="shared" si="0"/>
        <v>200</v>
      </c>
      <c r="AD14" s="21" t="s">
        <v>132</v>
      </c>
      <c r="AE14" s="19"/>
      <c r="AF14" s="20"/>
    </row>
    <row r="15" spans="1:33">
      <c r="A15" s="184"/>
      <c r="B15" s="129"/>
      <c r="C15" s="151"/>
      <c r="D15" s="188"/>
      <c r="E15" s="188"/>
      <c r="F15" s="187"/>
      <c r="G15" s="193"/>
      <c r="H15" s="188"/>
      <c r="I15" s="188"/>
      <c r="J15" s="188"/>
      <c r="K15" s="188"/>
      <c r="L15" s="188"/>
      <c r="M15" s="188"/>
      <c r="N15" s="188"/>
      <c r="O15" s="188"/>
      <c r="P15" s="187"/>
      <c r="Q15" s="188"/>
      <c r="R15" s="188"/>
      <c r="S15" s="188"/>
      <c r="T15" s="188"/>
      <c r="U15" s="188"/>
      <c r="V15" s="193"/>
      <c r="W15" s="208"/>
      <c r="Y15" s="18" t="s">
        <v>19</v>
      </c>
      <c r="Z15" s="23">
        <f>Summary!AO32</f>
        <v>0</v>
      </c>
      <c r="AA15" s="23">
        <f>SUMIF($C$2:$C$34,Y15,$F$2:$F$34)+SUMIF($C$2:$C$34,Y15,$G$2:$G$34)</f>
        <v>0</v>
      </c>
      <c r="AB15" s="26">
        <f t="shared" si="0"/>
        <v>0</v>
      </c>
      <c r="AD15" s="18" t="s">
        <v>49</v>
      </c>
      <c r="AE15" s="23"/>
      <c r="AF15" s="20"/>
    </row>
    <row r="16" spans="1:33">
      <c r="A16" s="192"/>
      <c r="B16" s="129"/>
      <c r="C16" s="151"/>
      <c r="D16" s="188"/>
      <c r="E16" s="188"/>
      <c r="F16" s="187"/>
      <c r="G16" s="193"/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208"/>
      <c r="Y16" s="18" t="s">
        <v>20</v>
      </c>
      <c r="Z16" s="23">
        <f>Summary!AO33</f>
        <v>500</v>
      </c>
      <c r="AA16" s="23">
        <f>SUMIF($C$2:$C$34,Y16,$F$2:$F$34)+SUMIF($C$2:$C$34,Y16,$G$2:$G$34)</f>
        <v>0</v>
      </c>
      <c r="AB16" s="26">
        <f t="shared" si="0"/>
        <v>500</v>
      </c>
      <c r="AD16" s="18" t="s">
        <v>129</v>
      </c>
      <c r="AE16" s="23"/>
      <c r="AF16" s="20"/>
    </row>
    <row r="17" spans="1:32">
      <c r="A17" s="192"/>
      <c r="B17" s="129"/>
      <c r="C17" s="151"/>
      <c r="D17" s="188"/>
      <c r="E17" s="188"/>
      <c r="F17" s="187"/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208"/>
      <c r="Y17" s="18" t="s">
        <v>21</v>
      </c>
      <c r="Z17" s="23">
        <f>Summary!AO34</f>
        <v>800</v>
      </c>
      <c r="AA17" s="23">
        <f>SUMIF($C$2:$C$34,Y17,$F$2:$F$34)+SUMIF($C$2:$C$34,Y17,$G$2:$G$34)</f>
        <v>0</v>
      </c>
      <c r="AB17" s="26">
        <f t="shared" si="0"/>
        <v>800</v>
      </c>
      <c r="AD17" s="18" t="s">
        <v>50</v>
      </c>
      <c r="AE17" s="23"/>
      <c r="AF17" s="20"/>
    </row>
    <row r="18" spans="1:32">
      <c r="A18" s="184"/>
      <c r="B18" s="185"/>
      <c r="C18" s="186"/>
      <c r="D18" s="187"/>
      <c r="E18" s="193"/>
      <c r="F18" s="187"/>
      <c r="G18" s="193"/>
      <c r="H18" s="188"/>
      <c r="I18" s="188"/>
      <c r="J18" s="188"/>
      <c r="K18" s="188"/>
      <c r="L18" s="188"/>
      <c r="M18" s="188"/>
      <c r="N18" s="188"/>
      <c r="O18" s="188"/>
      <c r="P18" s="187"/>
      <c r="Q18" s="188"/>
      <c r="R18" s="188"/>
      <c r="S18" s="188"/>
      <c r="T18" s="188"/>
      <c r="U18" s="188"/>
      <c r="V18" s="193"/>
      <c r="W18" s="194"/>
      <c r="Y18" s="18" t="s">
        <v>22</v>
      </c>
      <c r="Z18" s="23">
        <f>Summary!AO35</f>
        <v>4100</v>
      </c>
      <c r="AA18" s="23">
        <f>SUMIF($C$2:$C$34,Y18,$F$2:$F$34)+SUMIF($C$2:$C$34,Y18,$G$2:$G$34)</f>
        <v>0</v>
      </c>
      <c r="AB18" s="26">
        <f t="shared" si="0"/>
        <v>4100</v>
      </c>
      <c r="AD18" s="18" t="s">
        <v>130</v>
      </c>
      <c r="AE18" s="23"/>
      <c r="AF18" s="20"/>
    </row>
    <row r="19" spans="1:32">
      <c r="A19" s="184"/>
      <c r="B19" s="185"/>
      <c r="C19" s="186"/>
      <c r="D19" s="187"/>
      <c r="E19" s="193"/>
      <c r="F19" s="187"/>
      <c r="G19" s="193"/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208"/>
      <c r="Y19" s="18" t="s">
        <v>23</v>
      </c>
      <c r="Z19" s="23">
        <f>Summary!AO36</f>
        <v>176.2</v>
      </c>
      <c r="AA19" s="23">
        <f>SUMIF($C$2:$C$34,Y19,$F$2:$F$34)+SUMIF($C$2:$C$34,Y19,$G$2:$G$34)</f>
        <v>0</v>
      </c>
      <c r="AB19" s="26">
        <f t="shared" si="0"/>
        <v>176.2</v>
      </c>
      <c r="AD19" s="18" t="s">
        <v>131</v>
      </c>
      <c r="AE19" s="23"/>
      <c r="AF19" s="20"/>
    </row>
    <row r="20" spans="1:32">
      <c r="A20" s="184"/>
      <c r="B20" s="185"/>
      <c r="C20" s="186"/>
      <c r="D20" s="187"/>
      <c r="E20" s="193"/>
      <c r="F20" s="187"/>
      <c r="G20" s="193"/>
      <c r="H20" s="188"/>
      <c r="I20" s="188"/>
      <c r="J20" s="188"/>
      <c r="K20" s="188"/>
      <c r="L20" s="188"/>
      <c r="M20" s="188"/>
      <c r="N20" s="188"/>
      <c r="O20" s="188"/>
      <c r="P20" s="187"/>
      <c r="Q20" s="188"/>
      <c r="R20" s="188"/>
      <c r="S20" s="188"/>
      <c r="T20" s="188"/>
      <c r="U20" s="188"/>
      <c r="V20" s="193"/>
      <c r="W20" s="194"/>
      <c r="Y20" s="18" t="s">
        <v>24</v>
      </c>
      <c r="Z20" s="23">
        <f>Summary!AO37</f>
        <v>500</v>
      </c>
      <c r="AA20" s="23">
        <f>SUMIF($C$2:$C$34,Y20,$F$2:$F$34)+SUMIF($C$2:$C$34,Y20,$G$2:$G$34)</f>
        <v>0</v>
      </c>
      <c r="AB20" s="26">
        <f t="shared" si="0"/>
        <v>500</v>
      </c>
      <c r="AD20" s="18" t="s">
        <v>124</v>
      </c>
      <c r="AE20" s="23"/>
      <c r="AF20" s="20"/>
    </row>
    <row r="21" spans="1:32">
      <c r="A21" s="192"/>
      <c r="B21" s="129"/>
      <c r="C21" s="151"/>
      <c r="D21" s="188"/>
      <c r="E21" s="193"/>
      <c r="F21" s="187"/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208"/>
      <c r="Y21" s="18" t="s">
        <v>25</v>
      </c>
      <c r="Z21" s="23">
        <f>Summary!AO38</f>
        <v>200</v>
      </c>
      <c r="AA21" s="23">
        <f>SUMIF($C$2:$C$34,Y21,$F$2:$F$34)+SUMIF($C$2:$C$34,Y21,$G$2:$G$34)</f>
        <v>0</v>
      </c>
      <c r="AB21" s="26">
        <f t="shared" si="0"/>
        <v>200</v>
      </c>
      <c r="AD21" s="18" t="s">
        <v>133</v>
      </c>
      <c r="AE21" s="104">
        <f>SUM(W35:W35)</f>
        <v>0</v>
      </c>
      <c r="AF21" s="20"/>
    </row>
    <row r="22" spans="1:32">
      <c r="A22" s="192"/>
      <c r="B22" s="129"/>
      <c r="C22" s="151"/>
      <c r="D22" s="188"/>
      <c r="E22" s="193"/>
      <c r="F22" s="187"/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208"/>
      <c r="Y22" s="18" t="s">
        <v>26</v>
      </c>
      <c r="Z22" s="23">
        <f>Summary!AO39</f>
        <v>200</v>
      </c>
      <c r="AA22" s="23">
        <f>SUMIF($C$2:$C$34,Y22,$F$2:$F$34)+SUMIF($C$2:$C$34,Y22,$G$2:$G$34)</f>
        <v>0</v>
      </c>
      <c r="AB22" s="26">
        <f>Z22+AA22</f>
        <v>200</v>
      </c>
      <c r="AD22" s="21" t="s">
        <v>29</v>
      </c>
      <c r="AE22" s="637">
        <f>SUM(AE15:AE21)</f>
        <v>0</v>
      </c>
      <c r="AF22" s="20"/>
    </row>
    <row r="23" spans="1:32">
      <c r="A23" s="198"/>
      <c r="B23" s="129"/>
      <c r="C23" s="151"/>
      <c r="D23" s="188"/>
      <c r="E23" s="193"/>
      <c r="F23" s="187"/>
      <c r="G23" s="193"/>
      <c r="H23" s="188"/>
      <c r="I23" s="188"/>
      <c r="J23" s="188"/>
      <c r="K23" s="188"/>
      <c r="L23" s="188"/>
      <c r="M23" s="188"/>
      <c r="N23" s="188"/>
      <c r="O23" s="193"/>
      <c r="P23" s="187"/>
      <c r="Q23" s="188"/>
      <c r="R23" s="188"/>
      <c r="S23" s="188"/>
      <c r="T23" s="188"/>
      <c r="U23" s="188"/>
      <c r="V23" s="188"/>
      <c r="W23" s="191"/>
      <c r="Y23" s="18" t="s">
        <v>27</v>
      </c>
      <c r="Z23" s="23">
        <f>Summary!AO40</f>
        <v>0</v>
      </c>
      <c r="AA23" s="23">
        <f>SUMIF($C$2:$C$34,Y23,$F$2:$F$34)+SUMIF($C$2:$C$34,Y23,$G$2:$G$34)</f>
        <v>0</v>
      </c>
      <c r="AB23" s="26">
        <f>Z23+AA23</f>
        <v>0</v>
      </c>
      <c r="AD23" s="124"/>
      <c r="AE23"/>
      <c r="AF23" s="125"/>
    </row>
    <row r="24" spans="1:32" ht="11.25" customHeight="1">
      <c r="A24" s="108"/>
      <c r="B24" s="97"/>
      <c r="C24" s="219"/>
      <c r="D24" s="159"/>
      <c r="E24" s="160"/>
      <c r="F24" s="158"/>
      <c r="G24" s="160"/>
      <c r="H24" s="159"/>
      <c r="I24" s="159"/>
      <c r="J24" s="159"/>
      <c r="K24" s="159"/>
      <c r="L24" s="159"/>
      <c r="M24" s="159"/>
      <c r="N24" s="159"/>
      <c r="O24" s="159"/>
      <c r="P24" s="158"/>
      <c r="Q24" s="159"/>
      <c r="R24" s="159"/>
      <c r="S24" s="159"/>
      <c r="T24" s="159"/>
      <c r="U24" s="159"/>
      <c r="V24" s="160"/>
      <c r="W24" s="222"/>
      <c r="Y24" s="18" t="s">
        <v>28</v>
      </c>
      <c r="Z24" s="23">
        <f>Summary!AR41</f>
        <v>800</v>
      </c>
      <c r="AA24" s="23">
        <f>SUMIF($C$2:$C$34,Y24,$F$2:$F$34)+SUMIF($C$2:$C$34,Y24,$G$2:$G$34)</f>
        <v>0</v>
      </c>
      <c r="AB24" s="26">
        <f>Z24+AA24</f>
        <v>800</v>
      </c>
      <c r="AD24" s="124"/>
      <c r="AE24"/>
      <c r="AF24" s="125"/>
    </row>
    <row r="25" spans="1:32" ht="11.25" customHeight="1">
      <c r="A25" s="108"/>
      <c r="B25" s="93"/>
      <c r="C25" s="219"/>
      <c r="D25" s="159"/>
      <c r="E25" s="160"/>
      <c r="F25" s="158"/>
      <c r="G25" s="160"/>
      <c r="H25" s="159"/>
      <c r="I25" s="159"/>
      <c r="J25" s="159"/>
      <c r="K25" s="159"/>
      <c r="L25" s="159"/>
      <c r="M25" s="159"/>
      <c r="N25" s="159"/>
      <c r="O25" s="159"/>
      <c r="P25" s="158"/>
      <c r="Q25" s="159"/>
      <c r="R25" s="159"/>
      <c r="S25" s="159"/>
      <c r="T25" s="159"/>
      <c r="U25" s="159"/>
      <c r="V25" s="160"/>
      <c r="W25" s="222"/>
      <c r="Y25" s="18"/>
      <c r="Z25" s="23"/>
      <c r="AA25" s="23"/>
      <c r="AB25" s="26"/>
      <c r="AD25" s="124"/>
      <c r="AE25"/>
      <c r="AF25" s="125"/>
    </row>
    <row r="26" spans="1:32" ht="11.25" customHeight="1">
      <c r="A26" s="108"/>
      <c r="B26" s="93"/>
      <c r="C26" s="219"/>
      <c r="D26" s="159"/>
      <c r="E26" s="160"/>
      <c r="F26" s="158"/>
      <c r="G26" s="160"/>
      <c r="H26" s="159"/>
      <c r="I26" s="159"/>
      <c r="J26" s="159"/>
      <c r="K26" s="159"/>
      <c r="L26" s="159"/>
      <c r="M26" s="159"/>
      <c r="N26" s="159"/>
      <c r="O26" s="159"/>
      <c r="P26" s="158"/>
      <c r="Q26" s="159"/>
      <c r="R26" s="159"/>
      <c r="S26" s="159"/>
      <c r="T26" s="159"/>
      <c r="U26" s="159"/>
      <c r="V26" s="160"/>
      <c r="W26" s="222"/>
      <c r="Y26" s="18"/>
      <c r="Z26" s="23"/>
      <c r="AA26" s="23"/>
      <c r="AB26" s="26"/>
      <c r="AD26" s="124"/>
      <c r="AE26"/>
      <c r="AF26" s="125"/>
    </row>
    <row r="27" spans="1:32" ht="11.25" customHeight="1">
      <c r="A27" s="108"/>
      <c r="B27" s="93"/>
      <c r="C27" s="219"/>
      <c r="D27" s="159"/>
      <c r="E27" s="160"/>
      <c r="F27" s="158"/>
      <c r="G27" s="160"/>
      <c r="H27" s="159"/>
      <c r="I27" s="159"/>
      <c r="J27" s="159"/>
      <c r="K27" s="159"/>
      <c r="L27" s="159"/>
      <c r="M27" s="159"/>
      <c r="N27" s="159"/>
      <c r="O27" s="159"/>
      <c r="P27" s="158"/>
      <c r="Q27" s="159"/>
      <c r="R27" s="159"/>
      <c r="S27" s="159"/>
      <c r="T27" s="159"/>
      <c r="U27" s="159"/>
      <c r="V27" s="160"/>
      <c r="W27" s="222"/>
      <c r="Y27" s="18"/>
      <c r="Z27" s="23"/>
      <c r="AA27" s="23"/>
      <c r="AB27" s="26"/>
      <c r="AD27" s="124"/>
      <c r="AE27"/>
      <c r="AF27" s="125"/>
    </row>
    <row r="28" spans="1:32" ht="11.25" customHeight="1">
      <c r="A28" s="108"/>
      <c r="B28" s="93"/>
      <c r="C28" s="219"/>
      <c r="D28" s="159"/>
      <c r="E28" s="160"/>
      <c r="F28" s="158"/>
      <c r="G28" s="160"/>
      <c r="H28" s="159"/>
      <c r="I28" s="159"/>
      <c r="J28" s="159"/>
      <c r="K28" s="159"/>
      <c r="L28" s="159"/>
      <c r="M28" s="159"/>
      <c r="N28" s="159"/>
      <c r="O28" s="159"/>
      <c r="P28" s="158"/>
      <c r="Q28" s="159"/>
      <c r="R28" s="159"/>
      <c r="S28" s="159"/>
      <c r="T28" s="159"/>
      <c r="U28" s="159"/>
      <c r="V28" s="160"/>
      <c r="W28" s="222"/>
      <c r="Y28" s="18"/>
      <c r="Z28" s="23"/>
      <c r="AA28" s="23"/>
      <c r="AB28" s="26"/>
      <c r="AD28" s="124"/>
      <c r="AE28"/>
      <c r="AF28" s="125"/>
    </row>
    <row r="29" spans="1:32" ht="11.25" customHeight="1">
      <c r="A29" s="108"/>
      <c r="B29" s="97"/>
      <c r="C29" s="219"/>
      <c r="D29" s="159"/>
      <c r="E29" s="160"/>
      <c r="F29" s="158"/>
      <c r="G29" s="160"/>
      <c r="H29" s="159"/>
      <c r="I29" s="159"/>
      <c r="J29" s="159"/>
      <c r="K29" s="159"/>
      <c r="L29" s="159"/>
      <c r="M29" s="159"/>
      <c r="N29" s="159"/>
      <c r="O29" s="159"/>
      <c r="P29" s="158"/>
      <c r="Q29" s="159"/>
      <c r="R29" s="159"/>
      <c r="S29" s="159"/>
      <c r="T29" s="159"/>
      <c r="U29" s="159"/>
      <c r="V29" s="160"/>
      <c r="W29" s="222"/>
      <c r="Y29" s="18"/>
      <c r="Z29" s="23"/>
      <c r="AA29" s="23"/>
      <c r="AB29" s="26"/>
      <c r="AD29" s="124"/>
      <c r="AE29"/>
      <c r="AF29" s="125"/>
    </row>
    <row r="30" spans="1:32" ht="11.25" customHeight="1">
      <c r="A30" s="108"/>
      <c r="B30" s="97"/>
      <c r="C30" s="219"/>
      <c r="D30" s="159"/>
      <c r="E30" s="160"/>
      <c r="F30" s="158"/>
      <c r="G30" s="160"/>
      <c r="H30" s="159"/>
      <c r="I30" s="159"/>
      <c r="J30" s="159"/>
      <c r="K30" s="159"/>
      <c r="L30" s="159"/>
      <c r="M30" s="159"/>
      <c r="N30" s="159"/>
      <c r="O30" s="159"/>
      <c r="P30" s="158"/>
      <c r="Q30" s="159"/>
      <c r="R30" s="159"/>
      <c r="S30" s="159"/>
      <c r="T30" s="159"/>
      <c r="U30" s="159"/>
      <c r="V30" s="160"/>
      <c r="W30" s="222"/>
      <c r="Y30" s="18"/>
      <c r="Z30" s="23"/>
      <c r="AA30" s="23"/>
      <c r="AB30" s="26"/>
      <c r="AD30" s="124"/>
      <c r="AE30"/>
      <c r="AF30" s="125"/>
    </row>
    <row r="31" spans="1:32" ht="11.25" customHeight="1">
      <c r="A31" s="108"/>
      <c r="B31" s="97"/>
      <c r="C31" s="219"/>
      <c r="D31" s="159"/>
      <c r="E31" s="160"/>
      <c r="F31" s="158"/>
      <c r="G31" s="160"/>
      <c r="H31" s="159"/>
      <c r="I31" s="159"/>
      <c r="J31" s="159"/>
      <c r="K31" s="159"/>
      <c r="L31" s="159"/>
      <c r="M31" s="159"/>
      <c r="N31" s="159"/>
      <c r="O31" s="159"/>
      <c r="P31" s="158"/>
      <c r="Q31" s="159"/>
      <c r="R31" s="159"/>
      <c r="S31" s="159"/>
      <c r="T31" s="159"/>
      <c r="U31" s="159"/>
      <c r="V31" s="160"/>
      <c r="W31" s="222"/>
      <c r="Y31" s="18"/>
      <c r="Z31" s="23"/>
      <c r="AA31" s="23"/>
      <c r="AB31" s="26"/>
      <c r="AD31" s="124"/>
      <c r="AE31"/>
      <c r="AF31" s="125"/>
    </row>
    <row r="32" spans="1:32" ht="11.25" customHeight="1">
      <c r="A32" s="108"/>
      <c r="B32" s="97"/>
      <c r="C32" s="219"/>
      <c r="D32" s="159"/>
      <c r="E32" s="160"/>
      <c r="F32" s="158"/>
      <c r="G32" s="160"/>
      <c r="H32" s="159"/>
      <c r="I32" s="159"/>
      <c r="J32" s="159"/>
      <c r="K32" s="159"/>
      <c r="L32" s="159"/>
      <c r="M32" s="159"/>
      <c r="N32" s="159"/>
      <c r="O32" s="159"/>
      <c r="P32" s="158"/>
      <c r="Q32" s="159"/>
      <c r="R32" s="159"/>
      <c r="S32" s="159"/>
      <c r="T32" s="159"/>
      <c r="U32" s="159"/>
      <c r="V32" s="160"/>
      <c r="W32" s="222"/>
      <c r="Y32" s="18"/>
      <c r="Z32" s="23"/>
      <c r="AA32" s="23"/>
      <c r="AB32" s="26"/>
      <c r="AD32" s="124"/>
      <c r="AE32"/>
      <c r="AF32" s="125"/>
    </row>
    <row r="33" spans="1:32" ht="11.25" customHeight="1">
      <c r="A33" s="108"/>
      <c r="B33" s="97"/>
      <c r="C33" s="219"/>
      <c r="D33" s="159"/>
      <c r="E33" s="160"/>
      <c r="F33" s="158"/>
      <c r="G33" s="160"/>
      <c r="H33" s="159"/>
      <c r="I33" s="159"/>
      <c r="J33" s="159"/>
      <c r="K33" s="159"/>
      <c r="L33" s="159"/>
      <c r="M33" s="159"/>
      <c r="N33" s="159"/>
      <c r="O33" s="159"/>
      <c r="P33" s="158"/>
      <c r="Q33" s="159"/>
      <c r="R33" s="159"/>
      <c r="S33" s="159"/>
      <c r="T33" s="159"/>
      <c r="U33" s="159"/>
      <c r="V33" s="160"/>
      <c r="W33" s="222"/>
      <c r="Y33" s="18"/>
      <c r="Z33" s="23"/>
      <c r="AA33" s="23"/>
      <c r="AB33" s="26"/>
      <c r="AD33" s="124"/>
      <c r="AE33"/>
      <c r="AF33" s="125"/>
    </row>
    <row r="34" spans="1:32">
      <c r="A34" s="28"/>
      <c r="B34" s="98"/>
      <c r="C34" s="220"/>
      <c r="D34" s="153"/>
      <c r="E34" s="154"/>
      <c r="F34" s="152"/>
      <c r="G34" s="154"/>
      <c r="H34" s="153"/>
      <c r="I34" s="153"/>
      <c r="J34" s="153"/>
      <c r="K34" s="153"/>
      <c r="L34" s="153"/>
      <c r="M34" s="153"/>
      <c r="N34" s="153"/>
      <c r="O34" s="154"/>
      <c r="P34" s="152"/>
      <c r="Q34" s="153"/>
      <c r="R34" s="153"/>
      <c r="S34" s="153"/>
      <c r="T34" s="153"/>
      <c r="U34" s="153"/>
      <c r="V34" s="154"/>
      <c r="W34" s="223"/>
      <c r="Y34" s="18"/>
      <c r="Z34" s="23"/>
      <c r="AA34" s="23"/>
      <c r="AB34" s="26"/>
      <c r="AD34" s="124"/>
      <c r="AE34"/>
      <c r="AF34" s="125"/>
    </row>
    <row r="35" spans="1:32">
      <c r="A35" s="28"/>
      <c r="B35" s="214"/>
      <c r="C35" s="221"/>
      <c r="D35" s="217"/>
      <c r="E35" s="216"/>
      <c r="F35" s="215"/>
      <c r="G35" s="216"/>
      <c r="H35" s="217"/>
      <c r="I35" s="217"/>
      <c r="J35" s="217"/>
      <c r="K35" s="217"/>
      <c r="L35" s="217"/>
      <c r="M35" s="217"/>
      <c r="N35" s="217"/>
      <c r="O35" s="217"/>
      <c r="P35" s="215"/>
      <c r="Q35" s="217"/>
      <c r="R35" s="217"/>
      <c r="S35" s="217"/>
      <c r="T35" s="217"/>
      <c r="U35" s="217"/>
      <c r="V35" s="216"/>
      <c r="W35" s="224"/>
      <c r="Y35" s="30"/>
      <c r="Z35" s="48"/>
      <c r="AA35" s="48"/>
      <c r="AB35" s="49"/>
      <c r="AD35" s="126"/>
      <c r="AE35" s="127"/>
      <c r="AF35" s="128"/>
    </row>
    <row r="36" spans="1:32">
      <c r="A36" s="31" t="s">
        <v>134</v>
      </c>
      <c r="B36" s="31"/>
      <c r="C36" s="146"/>
      <c r="D36" s="173">
        <f>SUM(D3:D35)</f>
        <v>0</v>
      </c>
      <c r="E36" s="173">
        <f>SUM(E3:E35)</f>
        <v>0</v>
      </c>
      <c r="F36" s="174">
        <f>SUM(F3:F35)</f>
        <v>0</v>
      </c>
      <c r="G36" s="174">
        <f>SUM(G3:G35)</f>
        <v>0</v>
      </c>
      <c r="H36" s="173">
        <f>SUM(H3:H35)</f>
        <v>0</v>
      </c>
      <c r="I36" s="173">
        <f>SUM(I3:I35)</f>
        <v>0</v>
      </c>
      <c r="J36" s="173">
        <f>SUM(J3:J35)</f>
        <v>0</v>
      </c>
      <c r="K36" s="173">
        <f>SUM(K3:K35)</f>
        <v>0</v>
      </c>
      <c r="L36" s="173">
        <f>SUM(L3:L35)</f>
        <v>0</v>
      </c>
      <c r="M36" s="173">
        <f>SUM(M3:M35)</f>
        <v>0</v>
      </c>
      <c r="N36" s="173">
        <f>SUM(N3:N35)</f>
        <v>0</v>
      </c>
      <c r="O36" s="173">
        <f>SUM(O3:O35)</f>
        <v>0</v>
      </c>
      <c r="P36" s="173">
        <f>SUM(P3:P35)</f>
        <v>0</v>
      </c>
      <c r="Q36" s="173">
        <f>SUM(Q3:Q35)</f>
        <v>0</v>
      </c>
      <c r="R36" s="173">
        <f>SUM(R3:R35)</f>
        <v>0</v>
      </c>
      <c r="S36" s="173">
        <f>SUM(S3:S35)</f>
        <v>0</v>
      </c>
      <c r="T36" s="173">
        <f>SUM(T3:T35)</f>
        <v>0</v>
      </c>
      <c r="U36" s="173">
        <f>SUM(U3:U35)</f>
        <v>0</v>
      </c>
      <c r="V36" s="173">
        <f>SUM(V3:V35)</f>
        <v>0</v>
      </c>
      <c r="W36" s="196">
        <f>SUM(W3:W35)</f>
        <v>0</v>
      </c>
      <c r="Y36" s="100" t="s">
        <v>29</v>
      </c>
      <c r="Z36" s="32">
        <f>SUM(Z4:Z34)</f>
        <v>12031.2</v>
      </c>
      <c r="AA36" s="32">
        <f>SUM(AA4:AA34)</f>
        <v>0</v>
      </c>
      <c r="AB36" s="101">
        <f>SUM(AB4:AB34)</f>
        <v>12031.2</v>
      </c>
      <c r="AC36" s="11"/>
      <c r="AD36" s="100"/>
      <c r="AE36" s="57"/>
      <c r="AF36" s="102"/>
    </row>
    <row r="37" spans="1:32">
      <c r="A37" s="31"/>
      <c r="B37" s="31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Y37" s="31"/>
      <c r="Z37" s="95"/>
      <c r="AA37" s="95"/>
      <c r="AB37" s="95"/>
      <c r="AD37" s="31"/>
      <c r="AE37" s="24"/>
    </row>
    <row r="38" spans="1:32">
      <c r="A38" s="31"/>
      <c r="B38" s="31"/>
      <c r="C38"/>
      <c r="D38"/>
      <c r="E38" s="96"/>
      <c r="F38" s="96"/>
      <c r="G38" s="96"/>
      <c r="H38" s="96"/>
      <c r="I38" s="96"/>
      <c r="J38"/>
      <c r="K38"/>
      <c r="L38"/>
      <c r="M38"/>
      <c r="Q38" s="111"/>
      <c r="R38" s="96"/>
      <c r="S38" s="96"/>
      <c r="T38" s="96"/>
      <c r="U38" s="96"/>
      <c r="V38" s="96"/>
      <c r="W38" s="96"/>
      <c r="Y38" s="31"/>
      <c r="Z38" s="95"/>
      <c r="AA38" s="95"/>
      <c r="AB38" s="95"/>
      <c r="AD38" s="31"/>
      <c r="AE38" s="24"/>
    </row>
    <row r="39" spans="1:32">
      <c r="A39"/>
      <c r="B39"/>
      <c r="C39"/>
      <c r="D39"/>
      <c r="E39" s="96"/>
      <c r="F39" s="96"/>
      <c r="G39" s="96"/>
      <c r="H39" s="96"/>
      <c r="I39" s="96"/>
      <c r="J39"/>
      <c r="K39"/>
      <c r="L39"/>
      <c r="M39" s="134"/>
      <c r="N39"/>
      <c r="O39"/>
      <c r="P39"/>
      <c r="Q39"/>
    </row>
    <row r="40" spans="1:32">
      <c r="A40"/>
      <c r="B40"/>
      <c r="C40"/>
      <c r="D40"/>
      <c r="E40" s="96"/>
      <c r="F40" s="96"/>
      <c r="G40" s="96"/>
      <c r="H40" s="96"/>
      <c r="I40" s="96"/>
      <c r="J40"/>
      <c r="K40"/>
      <c r="L40"/>
      <c r="M40"/>
      <c r="N40"/>
      <c r="O40"/>
      <c r="P40"/>
      <c r="Q40"/>
    </row>
    <row r="41" spans="1:32">
      <c r="A41"/>
      <c r="B41"/>
      <c r="C41"/>
      <c r="D41"/>
      <c r="E41" s="96"/>
      <c r="F41" s="96"/>
      <c r="G41" s="96"/>
      <c r="H41" s="96"/>
      <c r="I41" s="96"/>
      <c r="J41"/>
      <c r="K41"/>
      <c r="L41"/>
      <c r="M41"/>
      <c r="N41"/>
      <c r="O41"/>
      <c r="P41"/>
      <c r="Q41"/>
      <c r="W41" s="638">
        <f>SUM(D36:W36)</f>
        <v>0</v>
      </c>
    </row>
    <row r="42" spans="1:32">
      <c r="A42"/>
      <c r="B42"/>
      <c r="C42"/>
      <c r="D42"/>
      <c r="E42" s="96"/>
      <c r="F42" s="96"/>
      <c r="G42" s="96"/>
      <c r="H42" s="96"/>
      <c r="I42" s="96"/>
      <c r="J42"/>
      <c r="K42"/>
      <c r="L42"/>
      <c r="M42"/>
      <c r="N42"/>
      <c r="O42"/>
      <c r="P42"/>
      <c r="Q42"/>
    </row>
    <row r="43" spans="1:32">
      <c r="A43"/>
      <c r="B43"/>
      <c r="C43"/>
      <c r="D43"/>
      <c r="E43" s="96"/>
      <c r="F43" s="96"/>
      <c r="G43" s="96"/>
      <c r="H43" s="96"/>
      <c r="I43" s="96"/>
      <c r="J43"/>
      <c r="K43"/>
      <c r="L43"/>
      <c r="M43"/>
      <c r="N43"/>
      <c r="O43"/>
      <c r="P43"/>
      <c r="Q43"/>
      <c r="V43" s="35"/>
      <c r="W43" s="36"/>
      <c r="X43" s="37"/>
      <c r="Y43" s="38" t="s">
        <v>135</v>
      </c>
    </row>
    <row r="44" spans="1:3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V44" s="39" t="s">
        <v>136</v>
      </c>
      <c r="W44" s="40">
        <f>SUM(H36:O36)</f>
        <v>0</v>
      </c>
      <c r="X44" s="37"/>
      <c r="Y44" s="41" t="e">
        <f>W44/W47</f>
        <v>#DIV/0!</v>
      </c>
    </row>
    <row r="45" spans="1:3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V45" s="39" t="s">
        <v>137</v>
      </c>
      <c r="W45" s="40">
        <f>SUM(P36:W36)</f>
        <v>0</v>
      </c>
      <c r="X45" s="37"/>
      <c r="Y45" s="41" t="e">
        <f>W45/W47</f>
        <v>#DIV/0!</v>
      </c>
    </row>
    <row r="46" spans="1:3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V46" s="39" t="s">
        <v>138</v>
      </c>
      <c r="W46" s="42">
        <f>E36+D36</f>
        <v>0</v>
      </c>
      <c r="X46" s="37"/>
      <c r="Y46" s="41" t="e">
        <f>W46/W47</f>
        <v>#DIV/0!</v>
      </c>
    </row>
    <row r="47" spans="1:3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V47" s="39" t="s">
        <v>56</v>
      </c>
      <c r="W47" s="639">
        <f>SUM(W44:W46)</f>
        <v>0</v>
      </c>
      <c r="X47" s="37"/>
      <c r="Y47" s="43"/>
    </row>
    <row r="48" spans="1:3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V48" s="35"/>
      <c r="W48" s="36"/>
      <c r="X48" s="37"/>
      <c r="Y48" s="37"/>
    </row>
    <row r="49" spans="1: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V49" s="35"/>
      <c r="W49" s="44">
        <f>W47-W41</f>
        <v>0</v>
      </c>
      <c r="X49" s="37"/>
      <c r="Y49" s="37"/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25">
      <c r="A54"/>
      <c r="B54"/>
      <c r="G54"/>
      <c r="H54"/>
      <c r="I54"/>
      <c r="J54"/>
      <c r="K54"/>
      <c r="L54"/>
      <c r="M54"/>
      <c r="N54"/>
      <c r="O54"/>
      <c r="P54"/>
      <c r="Q54"/>
    </row>
    <row r="55" spans="1:25">
      <c r="A55"/>
      <c r="B55"/>
      <c r="G55"/>
      <c r="H55"/>
      <c r="I55"/>
      <c r="J55"/>
      <c r="K55"/>
      <c r="L55"/>
      <c r="M55"/>
      <c r="N55"/>
      <c r="O55"/>
      <c r="P55"/>
      <c r="Q55"/>
    </row>
    <row r="56" spans="1:25">
      <c r="A56"/>
      <c r="B56"/>
      <c r="G56"/>
      <c r="H56"/>
      <c r="I56"/>
      <c r="J56"/>
      <c r="K56"/>
      <c r="L56"/>
      <c r="M56"/>
      <c r="N56"/>
      <c r="O56"/>
      <c r="P56"/>
      <c r="Q56"/>
    </row>
    <row r="57" spans="1:25">
      <c r="A57"/>
      <c r="B57"/>
      <c r="C57"/>
      <c r="G57"/>
      <c r="H57"/>
      <c r="I57"/>
      <c r="J57"/>
      <c r="K57"/>
      <c r="L57"/>
      <c r="M57"/>
      <c r="N57"/>
      <c r="O57"/>
      <c r="P57"/>
      <c r="Q57"/>
    </row>
    <row r="58" spans="1:25">
      <c r="A58"/>
      <c r="B58"/>
      <c r="G58"/>
      <c r="H58"/>
      <c r="I58"/>
      <c r="J58"/>
      <c r="K58"/>
      <c r="L58"/>
      <c r="M58"/>
      <c r="N58"/>
      <c r="O58"/>
      <c r="P58"/>
      <c r="Q58"/>
    </row>
    <row r="59" spans="1:25">
      <c r="A59"/>
      <c r="B59"/>
      <c r="G59"/>
      <c r="H59"/>
      <c r="I59"/>
      <c r="J59"/>
      <c r="K59"/>
      <c r="L59"/>
      <c r="M59"/>
      <c r="N59"/>
      <c r="O59"/>
      <c r="P59"/>
      <c r="Q59"/>
    </row>
    <row r="60" spans="1:25">
      <c r="A60"/>
      <c r="B60"/>
      <c r="G60"/>
      <c r="H60"/>
      <c r="I60"/>
      <c r="J60"/>
      <c r="K60"/>
      <c r="L60"/>
      <c r="M60"/>
      <c r="N60"/>
      <c r="O60"/>
      <c r="P60"/>
      <c r="Q60"/>
    </row>
    <row r="61" spans="1:25">
      <c r="A61"/>
      <c r="B61"/>
      <c r="G61"/>
      <c r="H61"/>
      <c r="I61"/>
      <c r="J61"/>
      <c r="K61"/>
      <c r="L61"/>
      <c r="M61"/>
      <c r="N61"/>
      <c r="O61"/>
      <c r="P61"/>
      <c r="Q61"/>
    </row>
    <row r="62" spans="1:25">
      <c r="A62"/>
      <c r="B62"/>
      <c r="G62"/>
      <c r="H62"/>
      <c r="I62"/>
      <c r="J62"/>
      <c r="K62"/>
      <c r="L62"/>
      <c r="M62"/>
      <c r="N62"/>
      <c r="O62"/>
      <c r="P62"/>
      <c r="Q62"/>
    </row>
    <row r="63" spans="1: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25">
      <c r="B64"/>
      <c r="C64"/>
      <c r="D64"/>
      <c r="E64"/>
      <c r="F64"/>
      <c r="G64"/>
      <c r="H64"/>
      <c r="I64"/>
      <c r="J64"/>
      <c r="K64"/>
      <c r="L64"/>
      <c r="M64"/>
    </row>
    <row r="65" spans="2:13">
      <c r="B65"/>
      <c r="C65"/>
      <c r="D65"/>
      <c r="E65"/>
      <c r="F65"/>
      <c r="G65"/>
      <c r="H65"/>
      <c r="I65"/>
      <c r="J65"/>
      <c r="K65"/>
      <c r="L65"/>
      <c r="M65"/>
    </row>
    <row r="66" spans="2:13">
      <c r="B66"/>
      <c r="C66"/>
      <c r="D66"/>
      <c r="E66"/>
      <c r="F66"/>
      <c r="G66"/>
      <c r="H66"/>
      <c r="I66"/>
      <c r="J66"/>
      <c r="K66"/>
      <c r="L66"/>
      <c r="M66"/>
    </row>
    <row r="67" spans="2:13">
      <c r="B67"/>
      <c r="C67"/>
      <c r="D67"/>
      <c r="E67"/>
      <c r="F67"/>
      <c r="G67"/>
      <c r="H67"/>
      <c r="I67"/>
      <c r="J67"/>
      <c r="K67"/>
      <c r="L67"/>
      <c r="M67"/>
    </row>
    <row r="68" spans="2:13">
      <c r="B68"/>
      <c r="C68"/>
      <c r="D68"/>
      <c r="E68"/>
      <c r="F68"/>
      <c r="G68"/>
      <c r="H68"/>
      <c r="I68"/>
      <c r="J68"/>
      <c r="K68"/>
      <c r="L68"/>
      <c r="M68"/>
    </row>
    <row r="69" spans="2:13">
      <c r="B69"/>
      <c r="C69"/>
      <c r="D69"/>
      <c r="E69"/>
      <c r="F69"/>
      <c r="G69"/>
      <c r="H69"/>
      <c r="I69"/>
      <c r="J69"/>
      <c r="K69"/>
      <c r="L69"/>
      <c r="M69"/>
    </row>
    <row r="70" spans="2:13">
      <c r="B70"/>
      <c r="C70"/>
      <c r="D70"/>
      <c r="E70"/>
      <c r="F70"/>
      <c r="G70"/>
    </row>
    <row r="71" spans="2:13">
      <c r="B71"/>
      <c r="C71"/>
      <c r="D71"/>
      <c r="E71"/>
      <c r="F71"/>
      <c r="G71"/>
    </row>
    <row r="72" spans="2:13">
      <c r="B72"/>
      <c r="C72"/>
      <c r="D72"/>
      <c r="E72"/>
      <c r="F72"/>
      <c r="G72"/>
    </row>
    <row r="73" spans="2:13">
      <c r="B73"/>
      <c r="C73"/>
      <c r="D73"/>
      <c r="E73"/>
      <c r="F73"/>
      <c r="G73"/>
    </row>
    <row r="74" spans="2:13">
      <c r="B74"/>
      <c r="C74"/>
      <c r="D74"/>
      <c r="E74"/>
      <c r="F74"/>
      <c r="G74"/>
    </row>
    <row r="75" spans="2:13">
      <c r="B75"/>
      <c r="C75"/>
      <c r="D75"/>
      <c r="E75"/>
      <c r="F75"/>
      <c r="G75"/>
    </row>
    <row r="76" spans="2:13">
      <c r="B76"/>
      <c r="C76"/>
      <c r="D76"/>
      <c r="E76"/>
      <c r="F76"/>
      <c r="G76"/>
    </row>
    <row r="77" spans="2:13">
      <c r="B77"/>
      <c r="C77"/>
      <c r="D77"/>
      <c r="E77"/>
      <c r="F77"/>
      <c r="G77"/>
    </row>
    <row r="78" spans="2:13">
      <c r="B78"/>
      <c r="C78"/>
      <c r="D78"/>
      <c r="E78"/>
      <c r="F78"/>
      <c r="G78"/>
    </row>
    <row r="79" spans="2:13">
      <c r="B79"/>
      <c r="C79"/>
      <c r="D79"/>
      <c r="E79"/>
      <c r="F79"/>
      <c r="G79"/>
    </row>
    <row r="80" spans="2:13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35"/>
  <sheetViews>
    <sheetView topLeftCell="J1" zoomScale="80" zoomScaleNormal="80" zoomScalePageLayoutView="85" workbookViewId="0">
      <selection activeCell="AD29" sqref="AD29"/>
    </sheetView>
  </sheetViews>
  <sheetFormatPr defaultColWidth="8.85546875" defaultRowHeight="12.75"/>
  <cols>
    <col min="1" max="1" width="11.28515625" style="2" bestFit="1" customWidth="1"/>
    <col min="2" max="2" width="33.85546875" style="2" customWidth="1"/>
    <col min="3" max="3" width="15.28515625" style="2" bestFit="1" customWidth="1"/>
    <col min="4" max="5" width="10.7109375" style="2" bestFit="1" customWidth="1"/>
    <col min="6" max="6" width="9.7109375" style="2" bestFit="1" customWidth="1"/>
    <col min="7" max="7" width="10.42578125" style="2" bestFit="1" customWidth="1"/>
    <col min="8" max="8" width="12" style="105" bestFit="1" customWidth="1"/>
    <col min="9" max="9" width="11.42578125" style="105" customWidth="1"/>
    <col min="10" max="10" width="13.140625" style="105" bestFit="1" customWidth="1"/>
    <col min="11" max="11" width="12.140625" style="105" bestFit="1" customWidth="1"/>
    <col min="12" max="13" width="12" style="105" bestFit="1" customWidth="1"/>
    <col min="14" max="14" width="11.7109375" style="105" bestFit="1" customWidth="1"/>
    <col min="15" max="15" width="13.42578125" style="105" customWidth="1"/>
    <col min="16" max="16" width="12.85546875" style="105" customWidth="1"/>
    <col min="17" max="17" width="11.85546875" style="105" customWidth="1"/>
    <col min="18" max="18" width="11.42578125" style="105" bestFit="1" customWidth="1"/>
    <col min="19" max="21" width="11.42578125" style="105" customWidth="1"/>
    <col min="22" max="22" width="13.140625" style="105" customWidth="1"/>
    <col min="23" max="23" width="15.42578125" style="33" bestFit="1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3" t="s">
        <v>91</v>
      </c>
      <c r="B2" s="31" t="s">
        <v>114</v>
      </c>
      <c r="C2" s="63" t="s">
        <v>115</v>
      </c>
      <c r="D2" s="137" t="s">
        <v>116</v>
      </c>
      <c r="E2" s="138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176"/>
      <c r="B3" s="177"/>
      <c r="C3" s="178"/>
      <c r="D3" s="179"/>
      <c r="E3" s="181"/>
      <c r="F3" s="182"/>
      <c r="G3" s="181"/>
      <c r="H3" s="180"/>
      <c r="I3" s="180"/>
      <c r="J3" s="180"/>
      <c r="K3" s="180"/>
      <c r="L3" s="180"/>
      <c r="M3" s="180"/>
      <c r="N3" s="180"/>
      <c r="O3" s="180"/>
      <c r="P3" s="179"/>
      <c r="Q3" s="180"/>
      <c r="R3" s="180"/>
      <c r="S3" s="180"/>
      <c r="T3" s="180"/>
      <c r="U3" s="180"/>
      <c r="V3" s="181"/>
      <c r="W3" s="183"/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184"/>
      <c r="B4" s="185"/>
      <c r="C4" s="186"/>
      <c r="D4" s="187"/>
      <c r="E4" s="188"/>
      <c r="F4" s="189"/>
      <c r="G4" s="190"/>
      <c r="H4" s="188"/>
      <c r="I4" s="188"/>
      <c r="J4" s="188"/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194"/>
      <c r="Y4" s="18" t="s">
        <v>8</v>
      </c>
      <c r="Z4" s="23">
        <f>Summary!AL21</f>
        <v>350</v>
      </c>
      <c r="AA4" s="23">
        <f>SUMIF($C$2:$C$46,Y4,$F$2:$F$46)+SUMIF($C$2:$C$46,Y4,$G$2:$G$46)</f>
        <v>0</v>
      </c>
      <c r="AB4" s="26">
        <f t="shared" ref="AB4:AB21" si="0">Z4+AA4</f>
        <v>350</v>
      </c>
      <c r="AD4" s="18"/>
      <c r="AE4" s="19"/>
      <c r="AF4" s="103"/>
    </row>
    <row r="5" spans="1:33">
      <c r="A5" s="184"/>
      <c r="B5" s="129"/>
      <c r="C5" s="186"/>
      <c r="D5" s="187"/>
      <c r="E5" s="188"/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194"/>
      <c r="Y5" s="18" t="s">
        <v>9</v>
      </c>
      <c r="Z5" s="23">
        <f>Summary!AL22</f>
        <v>335</v>
      </c>
      <c r="AA5" s="23">
        <f>SUMIF($C$2:$C$46,Y5,$F$2:$F$46)+SUMIF($C$2:$C$46,Y5,$G$2:$G$46)</f>
        <v>0</v>
      </c>
      <c r="AB5" s="26">
        <f t="shared" si="0"/>
        <v>335</v>
      </c>
      <c r="AD5" s="21" t="s">
        <v>128</v>
      </c>
      <c r="AE5" s="19"/>
      <c r="AF5" s="20"/>
    </row>
    <row r="6" spans="1:33">
      <c r="A6" s="184"/>
      <c r="B6" s="129"/>
      <c r="C6" s="186"/>
      <c r="D6" s="187"/>
      <c r="E6" s="188"/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3"/>
      <c r="W6" s="194"/>
      <c r="Y6" s="18" t="s">
        <v>10</v>
      </c>
      <c r="Z6" s="23">
        <f>Summary!AL23</f>
        <v>0</v>
      </c>
      <c r="AA6" s="23">
        <f>SUMIF($C$2:$C$46,Y6,$F$2:$F$46)+SUMIF($C$2:$C$46,Y6,$G$2:$G$46)</f>
        <v>0</v>
      </c>
      <c r="AB6" s="26">
        <f t="shared" si="0"/>
        <v>0</v>
      </c>
      <c r="AD6" s="18" t="s">
        <v>49</v>
      </c>
      <c r="AE6" s="22"/>
      <c r="AF6" s="20"/>
    </row>
    <row r="7" spans="1:33">
      <c r="A7" s="184"/>
      <c r="B7" s="129"/>
      <c r="C7" s="186"/>
      <c r="D7" s="187"/>
      <c r="E7" s="188"/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194"/>
      <c r="Y7" s="47" t="s">
        <v>11</v>
      </c>
      <c r="Z7" s="23">
        <f>Summary!AL24</f>
        <v>20</v>
      </c>
      <c r="AA7" s="23">
        <f>SUMIF($C$2:$C$46,Y7,$F$2:$F$46)+SUMIF($C$2:$C$46,Y7,$G$2:$G$46)</f>
        <v>0</v>
      </c>
      <c r="AB7" s="26">
        <f t="shared" si="0"/>
        <v>20</v>
      </c>
      <c r="AD7" s="18" t="s">
        <v>129</v>
      </c>
      <c r="AE7" s="23"/>
      <c r="AF7" s="20"/>
    </row>
    <row r="8" spans="1:33">
      <c r="A8" s="184"/>
      <c r="B8" s="129"/>
      <c r="C8" s="186"/>
      <c r="D8" s="187"/>
      <c r="E8" s="188"/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93"/>
      <c r="W8" s="194"/>
      <c r="Y8" s="18" t="s">
        <v>12</v>
      </c>
      <c r="Z8" s="23">
        <f>Summary!AL25</f>
        <v>700</v>
      </c>
      <c r="AA8" s="23">
        <f>SUMIF($C$2:$C$46,Y8,$F$2:$F$46)+SUMIF($C$2:$C$46,Y8,$G$2:$G$46)</f>
        <v>0</v>
      </c>
      <c r="AB8" s="26">
        <f t="shared" si="0"/>
        <v>700</v>
      </c>
      <c r="AD8" s="18" t="s">
        <v>111</v>
      </c>
      <c r="AE8" s="23"/>
      <c r="AF8" s="20"/>
    </row>
    <row r="9" spans="1:33">
      <c r="A9" s="184"/>
      <c r="B9" s="129"/>
      <c r="C9" s="186"/>
      <c r="D9" s="187"/>
      <c r="E9" s="188"/>
      <c r="F9" s="187"/>
      <c r="G9" s="193"/>
      <c r="H9" s="188"/>
      <c r="I9" s="188"/>
      <c r="J9" s="188"/>
      <c r="K9" s="188"/>
      <c r="L9" s="188"/>
      <c r="M9" s="188"/>
      <c r="N9" s="188"/>
      <c r="O9" s="188"/>
      <c r="P9" s="187"/>
      <c r="Q9" s="188"/>
      <c r="R9" s="188"/>
      <c r="S9" s="188"/>
      <c r="T9" s="188"/>
      <c r="U9" s="188"/>
      <c r="V9" s="194"/>
      <c r="W9" s="194"/>
      <c r="Y9" s="18" t="s">
        <v>13</v>
      </c>
      <c r="Z9" s="23">
        <f>Summary!AL26</f>
        <v>1300</v>
      </c>
      <c r="AA9" s="23">
        <f>SUMIF($C$2:$C$46,Y9,$F$2:$F$46)+SUMIF($C$2:$C$46,Y9,$G$2:$G$46)</f>
        <v>0</v>
      </c>
      <c r="AB9" s="26">
        <f t="shared" si="0"/>
        <v>1300</v>
      </c>
      <c r="AD9" s="18" t="s">
        <v>130</v>
      </c>
      <c r="AE9" s="22"/>
      <c r="AF9" s="20"/>
    </row>
    <row r="10" spans="1:33">
      <c r="A10" s="184"/>
      <c r="B10" s="129"/>
      <c r="C10" s="186"/>
      <c r="D10" s="187"/>
      <c r="E10" s="188"/>
      <c r="F10" s="187"/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194"/>
      <c r="Y10" s="18" t="s">
        <v>14</v>
      </c>
      <c r="Z10" s="23">
        <f>Summary!AL27</f>
        <v>150</v>
      </c>
      <c r="AA10" s="23">
        <f>SUMIF($C$2:$C$46,Y10,$F$2:$F$46)+SUMIF($C$2:$C$46,Y10,$G$2:$G$46)</f>
        <v>0</v>
      </c>
      <c r="AB10" s="26">
        <f t="shared" si="0"/>
        <v>150</v>
      </c>
      <c r="AD10" s="18" t="s">
        <v>131</v>
      </c>
      <c r="AE10" s="22"/>
      <c r="AF10" s="20"/>
    </row>
    <row r="11" spans="1:33">
      <c r="A11" s="184"/>
      <c r="B11" s="129"/>
      <c r="C11" s="186"/>
      <c r="D11" s="187"/>
      <c r="E11" s="188"/>
      <c r="F11" s="187"/>
      <c r="G11" s="193"/>
      <c r="H11" s="188"/>
      <c r="I11" s="188"/>
      <c r="J11" s="195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194"/>
      <c r="Y11" s="18" t="s">
        <v>15</v>
      </c>
      <c r="Z11" s="23">
        <f>Summary!AL28</f>
        <v>200</v>
      </c>
      <c r="AA11" s="23">
        <f>SUMIF($C$2:$C$46,Y11,$F$2:$F$46)+SUMIF($C$2:$C$46,Y11,$G$2:$G$46)</f>
        <v>0</v>
      </c>
      <c r="AB11" s="26">
        <f>Z11+AA11</f>
        <v>200</v>
      </c>
      <c r="AD11" s="18" t="s">
        <v>124</v>
      </c>
      <c r="AE11" s="22"/>
      <c r="AF11" s="20"/>
    </row>
    <row r="12" spans="1:33">
      <c r="A12" s="184"/>
      <c r="B12" s="129"/>
      <c r="C12" s="186"/>
      <c r="D12" s="187"/>
      <c r="E12" s="188"/>
      <c r="F12" s="187"/>
      <c r="G12" s="193"/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194"/>
      <c r="Y12" s="18" t="s">
        <v>16</v>
      </c>
      <c r="Z12" s="23">
        <f>Summary!AL29</f>
        <v>50</v>
      </c>
      <c r="AA12" s="23">
        <f>SUMIF($C$2:$C$46,Y12,$F$2:$F$46)+SUMIF($C$2:$C$46,Y12,$G$2:$G$46)</f>
        <v>0</v>
      </c>
      <c r="AB12" s="26">
        <f>Z12+AA12</f>
        <v>50</v>
      </c>
      <c r="AD12" s="21" t="s">
        <v>29</v>
      </c>
      <c r="AE12" s="637">
        <f>SUM(AE6:AE11)</f>
        <v>0</v>
      </c>
      <c r="AF12" s="20"/>
    </row>
    <row r="13" spans="1:33">
      <c r="A13" s="184"/>
      <c r="B13" s="129"/>
      <c r="C13" s="186"/>
      <c r="D13" s="187"/>
      <c r="E13" s="188"/>
      <c r="F13" s="187"/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194"/>
      <c r="Y13" s="18" t="s">
        <v>17</v>
      </c>
      <c r="Z13" s="23">
        <f>Summary!AL30</f>
        <v>1000</v>
      </c>
      <c r="AA13" s="23">
        <f>SUMIF($C$2:$C$46,Y13,$F$2:$F$46)+SUMIF($C$2:$C$46,Y13,$G$2:$G$46)</f>
        <v>0</v>
      </c>
      <c r="AB13" s="26">
        <f t="shared" si="0"/>
        <v>1000</v>
      </c>
      <c r="AD13" s="18"/>
      <c r="AE13" s="24"/>
      <c r="AF13" s="20"/>
    </row>
    <row r="14" spans="1:33">
      <c r="A14" s="192"/>
      <c r="B14" s="129"/>
      <c r="C14" s="186"/>
      <c r="D14" s="187"/>
      <c r="E14" s="188"/>
      <c r="F14" s="187"/>
      <c r="G14" s="193"/>
      <c r="H14" s="188"/>
      <c r="I14" s="188"/>
      <c r="J14" s="188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194"/>
      <c r="Y14" s="18" t="s">
        <v>18</v>
      </c>
      <c r="Z14" s="23">
        <f>Summary!AL31</f>
        <v>200</v>
      </c>
      <c r="AA14" s="23">
        <f>SUMIF($C$2:$C$46,Y14,$F$2:$F$46)+SUMIF($C$2:$C$46,Y14,$G$2:$G$46)</f>
        <v>0</v>
      </c>
      <c r="AB14" s="26">
        <f t="shared" si="0"/>
        <v>200</v>
      </c>
      <c r="AD14" s="21" t="s">
        <v>132</v>
      </c>
      <c r="AE14" s="19"/>
      <c r="AF14" s="20"/>
    </row>
    <row r="15" spans="1:33">
      <c r="A15" s="192"/>
      <c r="B15" s="129"/>
      <c r="C15" s="186"/>
      <c r="D15" s="187"/>
      <c r="E15" s="188"/>
      <c r="F15" s="187"/>
      <c r="G15" s="193"/>
      <c r="H15" s="188"/>
      <c r="I15" s="188"/>
      <c r="J15" s="188"/>
      <c r="K15" s="188"/>
      <c r="L15" s="188"/>
      <c r="M15" s="188"/>
      <c r="N15" s="188"/>
      <c r="O15" s="193"/>
      <c r="P15" s="187"/>
      <c r="Q15" s="188"/>
      <c r="R15" s="188"/>
      <c r="S15" s="188"/>
      <c r="T15" s="188"/>
      <c r="U15" s="188"/>
      <c r="V15" s="193"/>
      <c r="W15" s="194"/>
      <c r="Y15" s="18" t="s">
        <v>19</v>
      </c>
      <c r="Z15" s="23">
        <f>Summary!AL32</f>
        <v>0</v>
      </c>
      <c r="AA15" s="23">
        <f>SUMIF($C$2:$C$46,Y15,$F$2:$F$46)+SUMIF($C$2:$C$46,Y15,$G$2:$G$46)</f>
        <v>0</v>
      </c>
      <c r="AB15" s="26">
        <f t="shared" si="0"/>
        <v>0</v>
      </c>
      <c r="AD15" s="18" t="s">
        <v>49</v>
      </c>
      <c r="AE15" s="23"/>
      <c r="AF15" s="20"/>
    </row>
    <row r="16" spans="1:33">
      <c r="A16" s="192"/>
      <c r="B16" s="129"/>
      <c r="C16" s="186"/>
      <c r="D16" s="187"/>
      <c r="E16" s="188"/>
      <c r="F16" s="187"/>
      <c r="G16" s="193"/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194"/>
      <c r="Y16" s="18" t="s">
        <v>20</v>
      </c>
      <c r="Z16" s="23">
        <f>Summary!AL33</f>
        <v>500</v>
      </c>
      <c r="AA16" s="23">
        <f>SUMIF($C$2:$C$46,Y16,$F$2:$F$46)+SUMIF($C$2:$C$46,Y16,$G$2:$G$46)</f>
        <v>0</v>
      </c>
      <c r="AB16" s="26">
        <f t="shared" si="0"/>
        <v>500</v>
      </c>
      <c r="AD16" s="18" t="s">
        <v>129</v>
      </c>
      <c r="AE16" s="23"/>
      <c r="AF16" s="20"/>
    </row>
    <row r="17" spans="1:32">
      <c r="A17" s="192"/>
      <c r="B17" s="129"/>
      <c r="C17" s="186"/>
      <c r="D17" s="187"/>
      <c r="E17" s="188"/>
      <c r="F17" s="187"/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194"/>
      <c r="Y17" s="18" t="s">
        <v>21</v>
      </c>
      <c r="Z17" s="23">
        <f>Summary!AL34</f>
        <v>800</v>
      </c>
      <c r="AA17" s="23">
        <f>SUMIF($C$2:$C$46,Y17,$F$2:$F$46)+SUMIF($C$2:$C$46,Y17,$G$2:$G$46)</f>
        <v>0</v>
      </c>
      <c r="AB17" s="26">
        <f t="shared" si="0"/>
        <v>800</v>
      </c>
      <c r="AD17" s="18" t="s">
        <v>50</v>
      </c>
      <c r="AE17" s="23"/>
      <c r="AF17" s="20"/>
    </row>
    <row r="18" spans="1:32">
      <c r="A18" s="192"/>
      <c r="B18" s="185"/>
      <c r="C18" s="186"/>
      <c r="D18" s="187"/>
      <c r="E18" s="188"/>
      <c r="F18" s="187"/>
      <c r="G18" s="193"/>
      <c r="H18" s="188"/>
      <c r="I18" s="188"/>
      <c r="J18" s="188"/>
      <c r="K18" s="188"/>
      <c r="L18" s="188"/>
      <c r="M18" s="188"/>
      <c r="N18" s="188"/>
      <c r="O18" s="193"/>
      <c r="P18" s="187"/>
      <c r="Q18" s="188"/>
      <c r="R18" s="188"/>
      <c r="S18" s="188"/>
      <c r="T18" s="188"/>
      <c r="U18" s="188"/>
      <c r="V18" s="193"/>
      <c r="W18" s="194"/>
      <c r="Y18" s="18" t="s">
        <v>22</v>
      </c>
      <c r="Z18" s="23">
        <f>Summary!AL35</f>
        <v>4100</v>
      </c>
      <c r="AA18" s="23">
        <f>SUMIF($C$2:$C$46,Y18,$F$2:$F$46)+SUMIF($C$2:$C$46,Y18,$G$2:$G$46)</f>
        <v>0</v>
      </c>
      <c r="AB18" s="26">
        <f t="shared" si="0"/>
        <v>4100</v>
      </c>
      <c r="AD18" s="18" t="s">
        <v>130</v>
      </c>
      <c r="AE18" s="23"/>
      <c r="AF18" s="20"/>
    </row>
    <row r="19" spans="1:32">
      <c r="A19" s="184"/>
      <c r="B19" s="185"/>
      <c r="C19" s="186"/>
      <c r="D19" s="187"/>
      <c r="E19" s="188"/>
      <c r="F19" s="187"/>
      <c r="G19" s="193"/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194"/>
      <c r="Y19" s="18" t="s">
        <v>23</v>
      </c>
      <c r="Z19" s="23">
        <f>Summary!AL36</f>
        <v>176.2</v>
      </c>
      <c r="AA19" s="23">
        <f>SUMIF($C$2:$C$46,Y19,$F$2:$F$46)+SUMIF($C$2:$C$46,Y19,$G$2:$G$46)</f>
        <v>0</v>
      </c>
      <c r="AB19" s="26">
        <f t="shared" si="0"/>
        <v>176.2</v>
      </c>
      <c r="AD19" s="18" t="s">
        <v>131</v>
      </c>
      <c r="AE19" s="23"/>
      <c r="AF19" s="20"/>
    </row>
    <row r="20" spans="1:32">
      <c r="A20" s="192"/>
      <c r="B20" s="129"/>
      <c r="C20" s="186"/>
      <c r="D20" s="187"/>
      <c r="E20" s="193"/>
      <c r="F20" s="187"/>
      <c r="G20" s="193"/>
      <c r="H20" s="188"/>
      <c r="I20" s="188"/>
      <c r="J20" s="188"/>
      <c r="K20" s="188"/>
      <c r="L20" s="188"/>
      <c r="M20" s="188"/>
      <c r="N20" s="188"/>
      <c r="O20" s="193"/>
      <c r="P20" s="187"/>
      <c r="Q20" s="188"/>
      <c r="R20" s="188"/>
      <c r="S20" s="188"/>
      <c r="T20" s="188"/>
      <c r="U20" s="188"/>
      <c r="V20" s="193"/>
      <c r="W20" s="194"/>
      <c r="Y20" s="18" t="s">
        <v>24</v>
      </c>
      <c r="Z20" s="23">
        <f>Summary!AL37</f>
        <v>500</v>
      </c>
      <c r="AA20" s="23">
        <f>SUMIF($C$2:$C$46,Y20,$F$2:$F$46)+SUMIF($C$2:$C$46,Y20,$G$2:$G$46)</f>
        <v>0</v>
      </c>
      <c r="AB20" s="26">
        <f t="shared" si="0"/>
        <v>500</v>
      </c>
      <c r="AD20" s="18" t="s">
        <v>124</v>
      </c>
      <c r="AE20" s="23"/>
      <c r="AF20" s="20"/>
    </row>
    <row r="21" spans="1:32">
      <c r="A21" s="192"/>
      <c r="B21" s="129"/>
      <c r="C21" s="186"/>
      <c r="D21" s="187"/>
      <c r="E21" s="193"/>
      <c r="F21" s="187"/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194"/>
      <c r="Y21" s="18" t="s">
        <v>25</v>
      </c>
      <c r="Z21" s="23">
        <f>Summary!AL38</f>
        <v>0</v>
      </c>
      <c r="AA21" s="23">
        <f>SUMIF($C$2:$C$46,Y21,$F$2:$F$46)+SUMIF($C$2:$C$46,Y21,$G$2:$G$46)</f>
        <v>0</v>
      </c>
      <c r="AB21" s="26">
        <f t="shared" si="0"/>
        <v>0</v>
      </c>
      <c r="AD21" s="18" t="s">
        <v>133</v>
      </c>
      <c r="AE21" s="104"/>
      <c r="AF21" s="20"/>
    </row>
    <row r="22" spans="1:32">
      <c r="A22" s="192"/>
      <c r="B22" s="129"/>
      <c r="C22" s="186"/>
      <c r="D22" s="187"/>
      <c r="E22" s="193"/>
      <c r="F22" s="187"/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194"/>
      <c r="Y22" s="18" t="s">
        <v>26</v>
      </c>
      <c r="Z22" s="23">
        <f>Summary!AL39</f>
        <v>200</v>
      </c>
      <c r="AA22" s="23">
        <f>SUMIF($C$2:$C$46,Y22,$F$2:$F$46)+SUMIF($C$2:$C$46,Y22,$G$2:$G$46)</f>
        <v>0</v>
      </c>
      <c r="AB22" s="26">
        <f>Z22+AA22</f>
        <v>200</v>
      </c>
      <c r="AD22" s="21" t="s">
        <v>29</v>
      </c>
      <c r="AE22" s="637">
        <f>SUM(AE15:AE21)</f>
        <v>0</v>
      </c>
      <c r="AF22" s="20"/>
    </row>
    <row r="23" spans="1:32">
      <c r="A23" s="198"/>
      <c r="B23" s="129"/>
      <c r="C23" s="186"/>
      <c r="D23" s="187"/>
      <c r="E23" s="193"/>
      <c r="F23" s="187"/>
      <c r="G23" s="193"/>
      <c r="H23" s="188"/>
      <c r="I23" s="188"/>
      <c r="J23" s="188"/>
      <c r="K23" s="188"/>
      <c r="L23" s="188"/>
      <c r="M23" s="188"/>
      <c r="N23" s="188"/>
      <c r="O23" s="193"/>
      <c r="P23" s="187"/>
      <c r="Q23" s="188"/>
      <c r="R23" s="188"/>
      <c r="S23" s="188"/>
      <c r="T23" s="188"/>
      <c r="U23" s="188"/>
      <c r="V23" s="188"/>
      <c r="W23" s="191"/>
      <c r="Y23" s="18" t="s">
        <v>27</v>
      </c>
      <c r="Z23" s="23">
        <f>Summary!AL40</f>
        <v>0</v>
      </c>
      <c r="AA23" s="23">
        <f>SUMIF($C$2:$C$46,Y23,$F$2:$F$46)+SUMIF($C$2:$C$46,Y23,$G$2:$G$46)</f>
        <v>0</v>
      </c>
      <c r="AB23" s="26">
        <f>Z23+AA23</f>
        <v>0</v>
      </c>
      <c r="AD23" s="124"/>
      <c r="AE23"/>
      <c r="AF23" s="125"/>
    </row>
    <row r="24" spans="1:32">
      <c r="A24" s="198"/>
      <c r="B24" s="129"/>
      <c r="C24" s="186"/>
      <c r="D24" s="187"/>
      <c r="E24" s="193"/>
      <c r="F24" s="187"/>
      <c r="G24" s="193"/>
      <c r="H24" s="188"/>
      <c r="I24" s="188"/>
      <c r="J24" s="188"/>
      <c r="K24" s="188"/>
      <c r="L24" s="188"/>
      <c r="M24" s="188"/>
      <c r="N24" s="188"/>
      <c r="O24" s="193"/>
      <c r="P24" s="187"/>
      <c r="Q24" s="188"/>
      <c r="R24" s="188"/>
      <c r="S24" s="188"/>
      <c r="T24" s="188"/>
      <c r="U24" s="188"/>
      <c r="V24" s="188"/>
      <c r="W24" s="191"/>
      <c r="Y24" s="18"/>
      <c r="Z24" s="23"/>
      <c r="AA24" s="23"/>
      <c r="AB24" s="26"/>
      <c r="AD24" s="124"/>
      <c r="AE24"/>
      <c r="AF24" s="125"/>
    </row>
    <row r="25" spans="1:32">
      <c r="A25" s="198"/>
      <c r="B25" s="129"/>
      <c r="C25" s="186"/>
      <c r="D25" s="187"/>
      <c r="E25" s="193"/>
      <c r="F25" s="187"/>
      <c r="G25" s="193"/>
      <c r="H25" s="188"/>
      <c r="I25" s="188"/>
      <c r="J25" s="188"/>
      <c r="K25" s="188"/>
      <c r="L25" s="188"/>
      <c r="M25" s="188"/>
      <c r="N25" s="188"/>
      <c r="O25" s="193"/>
      <c r="P25" s="187"/>
      <c r="Q25" s="188"/>
      <c r="R25" s="188"/>
      <c r="S25" s="188"/>
      <c r="T25" s="188"/>
      <c r="U25" s="188"/>
      <c r="V25" s="188"/>
      <c r="W25" s="191"/>
      <c r="Y25" s="18"/>
      <c r="Z25" s="23"/>
      <c r="AA25" s="23"/>
      <c r="AB25" s="26"/>
      <c r="AD25" s="124"/>
      <c r="AE25"/>
      <c r="AF25" s="125"/>
    </row>
    <row r="26" spans="1:32">
      <c r="A26" s="198"/>
      <c r="B26" s="129"/>
      <c r="C26" s="186"/>
      <c r="D26" s="187"/>
      <c r="E26" s="193"/>
      <c r="F26" s="187"/>
      <c r="G26" s="193"/>
      <c r="H26" s="188"/>
      <c r="I26" s="188"/>
      <c r="J26" s="188"/>
      <c r="K26" s="188"/>
      <c r="L26" s="188"/>
      <c r="M26" s="188"/>
      <c r="N26" s="188"/>
      <c r="O26" s="193"/>
      <c r="P26" s="187"/>
      <c r="Q26" s="188"/>
      <c r="R26" s="188"/>
      <c r="S26" s="188"/>
      <c r="T26" s="188"/>
      <c r="U26" s="188"/>
      <c r="V26" s="188"/>
      <c r="W26" s="191"/>
      <c r="Y26" s="18"/>
      <c r="Z26" s="23"/>
      <c r="AA26" s="23"/>
      <c r="AB26" s="26"/>
      <c r="AD26" s="124"/>
      <c r="AE26"/>
      <c r="AF26" s="125"/>
    </row>
    <row r="27" spans="1:32">
      <c r="A27" s="198"/>
      <c r="B27" s="129"/>
      <c r="C27" s="186"/>
      <c r="D27" s="187"/>
      <c r="E27" s="193"/>
      <c r="F27" s="187"/>
      <c r="G27" s="193"/>
      <c r="H27" s="188"/>
      <c r="I27" s="188"/>
      <c r="J27" s="188"/>
      <c r="K27" s="188"/>
      <c r="L27" s="188"/>
      <c r="M27" s="188"/>
      <c r="N27" s="188"/>
      <c r="O27" s="193"/>
      <c r="P27" s="187"/>
      <c r="Q27" s="188"/>
      <c r="R27" s="188"/>
      <c r="S27" s="188"/>
      <c r="T27" s="188"/>
      <c r="U27" s="188"/>
      <c r="V27" s="188"/>
      <c r="W27" s="191"/>
      <c r="Y27" s="18"/>
      <c r="Z27" s="23"/>
      <c r="AA27" s="23"/>
      <c r="AB27" s="26"/>
      <c r="AD27" s="124"/>
      <c r="AE27"/>
      <c r="AF27" s="125"/>
    </row>
    <row r="28" spans="1:32">
      <c r="A28" s="198"/>
      <c r="B28" s="129"/>
      <c r="C28" s="186"/>
      <c r="D28" s="187"/>
      <c r="E28" s="193"/>
      <c r="F28" s="187"/>
      <c r="G28" s="193"/>
      <c r="H28" s="188"/>
      <c r="I28" s="188"/>
      <c r="J28" s="188"/>
      <c r="K28" s="188"/>
      <c r="L28" s="188"/>
      <c r="M28" s="188"/>
      <c r="N28" s="188"/>
      <c r="O28" s="193"/>
      <c r="P28" s="187"/>
      <c r="Q28" s="188"/>
      <c r="R28" s="188"/>
      <c r="S28" s="188"/>
      <c r="T28" s="188"/>
      <c r="U28" s="188"/>
      <c r="V28" s="188"/>
      <c r="W28" s="191"/>
      <c r="Y28" s="18"/>
      <c r="Z28" s="23"/>
      <c r="AA28" s="23"/>
      <c r="AB28" s="26"/>
      <c r="AD28" s="124"/>
      <c r="AE28"/>
      <c r="AF28" s="125"/>
    </row>
    <row r="29" spans="1:32">
      <c r="A29" s="198"/>
      <c r="B29" s="129"/>
      <c r="C29" s="186"/>
      <c r="D29" s="187"/>
      <c r="E29" s="193"/>
      <c r="F29" s="187"/>
      <c r="G29" s="193"/>
      <c r="H29" s="188"/>
      <c r="I29" s="188"/>
      <c r="J29" s="188"/>
      <c r="K29" s="188"/>
      <c r="L29" s="188"/>
      <c r="M29" s="188"/>
      <c r="N29" s="188"/>
      <c r="O29" s="193"/>
      <c r="P29" s="187"/>
      <c r="Q29" s="188"/>
      <c r="R29" s="188"/>
      <c r="S29" s="188"/>
      <c r="T29" s="188"/>
      <c r="U29" s="188"/>
      <c r="V29" s="188"/>
      <c r="W29" s="191"/>
      <c r="Y29" s="18"/>
      <c r="Z29" s="23"/>
      <c r="AA29" s="23"/>
      <c r="AB29" s="26"/>
      <c r="AD29" s="124"/>
      <c r="AE29"/>
      <c r="AF29" s="125"/>
    </row>
    <row r="30" spans="1:32">
      <c r="A30" s="198"/>
      <c r="B30" s="129"/>
      <c r="C30" s="186"/>
      <c r="D30" s="187"/>
      <c r="E30" s="193"/>
      <c r="F30" s="187"/>
      <c r="G30" s="193"/>
      <c r="H30" s="188"/>
      <c r="I30" s="188"/>
      <c r="J30" s="188"/>
      <c r="K30" s="188"/>
      <c r="L30" s="188"/>
      <c r="M30" s="188"/>
      <c r="N30" s="188"/>
      <c r="O30" s="193"/>
      <c r="P30" s="187"/>
      <c r="Q30" s="188"/>
      <c r="R30" s="188"/>
      <c r="S30" s="188"/>
      <c r="T30" s="188"/>
      <c r="U30" s="188"/>
      <c r="V30" s="188"/>
      <c r="W30" s="191"/>
      <c r="Y30" s="18"/>
      <c r="Z30" s="23"/>
      <c r="AA30" s="23"/>
      <c r="AB30" s="26"/>
      <c r="AD30" s="124"/>
      <c r="AE30"/>
      <c r="AF30" s="125"/>
    </row>
    <row r="31" spans="1:32">
      <c r="A31" s="198"/>
      <c r="B31" s="129"/>
      <c r="C31" s="186"/>
      <c r="D31" s="187"/>
      <c r="E31" s="193"/>
      <c r="F31" s="187"/>
      <c r="G31" s="193"/>
      <c r="H31" s="188"/>
      <c r="I31" s="188"/>
      <c r="J31" s="188"/>
      <c r="K31" s="188"/>
      <c r="L31" s="188"/>
      <c r="M31" s="188"/>
      <c r="N31" s="188"/>
      <c r="O31" s="193"/>
      <c r="P31" s="187"/>
      <c r="Q31" s="188"/>
      <c r="R31" s="188"/>
      <c r="S31" s="188"/>
      <c r="T31" s="188"/>
      <c r="U31" s="188"/>
      <c r="V31" s="188"/>
      <c r="W31" s="191"/>
      <c r="Y31" s="18"/>
      <c r="Z31" s="23"/>
      <c r="AA31" s="23"/>
      <c r="AB31" s="26"/>
      <c r="AD31" s="124"/>
      <c r="AE31"/>
      <c r="AF31" s="125"/>
    </row>
    <row r="32" spans="1:32">
      <c r="A32" s="198"/>
      <c r="B32" s="129"/>
      <c r="C32" s="186"/>
      <c r="D32" s="187"/>
      <c r="E32" s="193"/>
      <c r="F32" s="187"/>
      <c r="G32" s="193"/>
      <c r="H32" s="188"/>
      <c r="I32" s="188"/>
      <c r="J32" s="188"/>
      <c r="K32" s="188"/>
      <c r="L32" s="188"/>
      <c r="M32" s="188"/>
      <c r="N32" s="188"/>
      <c r="O32" s="193"/>
      <c r="P32" s="187"/>
      <c r="Q32" s="188"/>
      <c r="R32" s="188"/>
      <c r="S32" s="188"/>
      <c r="T32" s="188"/>
      <c r="U32" s="188"/>
      <c r="V32" s="188"/>
      <c r="W32" s="191"/>
      <c r="Y32" s="18"/>
      <c r="Z32" s="23"/>
      <c r="AA32" s="23"/>
      <c r="AB32" s="26"/>
      <c r="AD32" s="124"/>
      <c r="AE32"/>
      <c r="AF32" s="125"/>
    </row>
    <row r="33" spans="1:32" ht="11.25" customHeight="1">
      <c r="A33" s="184"/>
      <c r="B33" s="185"/>
      <c r="C33" s="186"/>
      <c r="D33" s="187"/>
      <c r="E33" s="193"/>
      <c r="F33" s="187"/>
      <c r="G33" s="193"/>
      <c r="H33" s="188"/>
      <c r="I33" s="188"/>
      <c r="J33" s="188"/>
      <c r="K33" s="188"/>
      <c r="L33" s="188"/>
      <c r="M33" s="188"/>
      <c r="N33" s="188"/>
      <c r="O33" s="188"/>
      <c r="P33" s="187"/>
      <c r="Q33" s="188"/>
      <c r="R33" s="188"/>
      <c r="S33" s="188"/>
      <c r="T33" s="188"/>
      <c r="U33" s="188"/>
      <c r="V33" s="193"/>
      <c r="W33" s="194"/>
      <c r="Y33" s="18"/>
      <c r="Z33" s="23"/>
      <c r="AA33" s="23"/>
      <c r="AB33" s="26"/>
      <c r="AD33" s="124"/>
      <c r="AE33"/>
      <c r="AF33" s="125"/>
    </row>
    <row r="34" spans="1:32" ht="11.25" customHeight="1">
      <c r="A34" s="184"/>
      <c r="B34" s="185"/>
      <c r="C34" s="186"/>
      <c r="D34" s="187"/>
      <c r="E34" s="193"/>
      <c r="F34" s="187"/>
      <c r="G34" s="193"/>
      <c r="H34" s="188"/>
      <c r="I34" s="188"/>
      <c r="J34" s="188"/>
      <c r="K34" s="188"/>
      <c r="L34" s="188"/>
      <c r="M34" s="188"/>
      <c r="N34" s="188"/>
      <c r="O34" s="188"/>
      <c r="P34" s="187"/>
      <c r="Q34" s="188"/>
      <c r="R34" s="188"/>
      <c r="S34" s="188"/>
      <c r="T34" s="188"/>
      <c r="U34" s="188"/>
      <c r="V34" s="193"/>
      <c r="W34" s="194"/>
      <c r="Y34" s="18"/>
      <c r="Z34" s="23"/>
      <c r="AA34" s="23"/>
      <c r="AB34" s="26"/>
      <c r="AD34" s="124"/>
      <c r="AE34"/>
      <c r="AF34" s="125"/>
    </row>
    <row r="35" spans="1:32" ht="11.25" customHeight="1">
      <c r="A35" s="184"/>
      <c r="B35" s="185"/>
      <c r="C35" s="186"/>
      <c r="D35" s="187"/>
      <c r="E35" s="193"/>
      <c r="F35" s="187"/>
      <c r="G35" s="193"/>
      <c r="H35" s="188"/>
      <c r="I35" s="188"/>
      <c r="J35" s="188"/>
      <c r="K35" s="188"/>
      <c r="L35" s="188"/>
      <c r="M35" s="188"/>
      <c r="N35" s="188"/>
      <c r="O35" s="188"/>
      <c r="P35" s="187"/>
      <c r="Q35" s="188"/>
      <c r="R35" s="188"/>
      <c r="S35" s="188"/>
      <c r="T35" s="188"/>
      <c r="U35" s="188"/>
      <c r="V35" s="193"/>
      <c r="W35" s="194"/>
      <c r="Y35" s="18"/>
      <c r="Z35" s="23"/>
      <c r="AA35" s="23"/>
      <c r="AB35" s="26"/>
      <c r="AD35" s="124"/>
      <c r="AE35"/>
      <c r="AF35" s="125"/>
    </row>
    <row r="36" spans="1:32" ht="11.25" customHeight="1">
      <c r="A36" s="184"/>
      <c r="B36" s="185"/>
      <c r="C36" s="186"/>
      <c r="D36" s="187"/>
      <c r="E36" s="193"/>
      <c r="F36" s="187"/>
      <c r="G36" s="193"/>
      <c r="H36" s="188"/>
      <c r="I36" s="188"/>
      <c r="J36" s="188"/>
      <c r="K36" s="188"/>
      <c r="L36" s="188"/>
      <c r="M36" s="188"/>
      <c r="N36" s="188"/>
      <c r="O36" s="188"/>
      <c r="P36" s="187"/>
      <c r="Q36" s="188"/>
      <c r="R36" s="188"/>
      <c r="S36" s="188"/>
      <c r="T36" s="188"/>
      <c r="U36" s="188"/>
      <c r="V36" s="193"/>
      <c r="W36" s="194"/>
      <c r="Y36" s="18"/>
      <c r="Z36" s="23"/>
      <c r="AA36" s="23"/>
      <c r="AB36" s="26"/>
      <c r="AD36" s="124"/>
      <c r="AE36"/>
      <c r="AF36" s="125"/>
    </row>
    <row r="37" spans="1:32" ht="11.25" customHeight="1">
      <c r="A37" s="184"/>
      <c r="B37" s="185"/>
      <c r="C37" s="186"/>
      <c r="D37" s="187"/>
      <c r="E37" s="193"/>
      <c r="F37" s="187"/>
      <c r="G37" s="193"/>
      <c r="H37" s="188"/>
      <c r="I37" s="188"/>
      <c r="J37" s="188"/>
      <c r="K37" s="188"/>
      <c r="L37" s="188"/>
      <c r="M37" s="188"/>
      <c r="N37" s="188"/>
      <c r="O37" s="188"/>
      <c r="P37" s="187"/>
      <c r="Q37" s="188"/>
      <c r="R37" s="188"/>
      <c r="S37" s="188"/>
      <c r="T37" s="188"/>
      <c r="U37" s="188"/>
      <c r="V37" s="193"/>
      <c r="W37" s="194"/>
      <c r="Y37" s="18"/>
      <c r="Z37" s="23"/>
      <c r="AA37" s="23"/>
      <c r="AB37" s="26"/>
      <c r="AD37" s="124"/>
      <c r="AE37"/>
      <c r="AF37" s="125"/>
    </row>
    <row r="38" spans="1:32" ht="11.25" customHeight="1">
      <c r="A38" s="184"/>
      <c r="B38" s="185"/>
      <c r="C38" s="186"/>
      <c r="D38" s="187"/>
      <c r="E38" s="193"/>
      <c r="F38" s="187"/>
      <c r="G38" s="193"/>
      <c r="H38" s="188"/>
      <c r="I38" s="188"/>
      <c r="J38" s="188"/>
      <c r="K38" s="188"/>
      <c r="L38" s="188"/>
      <c r="M38" s="188"/>
      <c r="N38" s="188"/>
      <c r="O38" s="188"/>
      <c r="P38" s="187"/>
      <c r="Q38" s="188"/>
      <c r="R38" s="188"/>
      <c r="S38" s="188"/>
      <c r="T38" s="188"/>
      <c r="U38" s="188"/>
      <c r="V38" s="193"/>
      <c r="W38" s="194"/>
      <c r="Y38" s="18"/>
      <c r="Z38" s="23"/>
      <c r="AA38" s="23"/>
      <c r="AB38" s="26"/>
      <c r="AD38" s="124"/>
      <c r="AE38"/>
      <c r="AF38" s="125"/>
    </row>
    <row r="39" spans="1:32" ht="11.25" customHeight="1">
      <c r="A39" s="184"/>
      <c r="B39" s="185"/>
      <c r="C39" s="186"/>
      <c r="D39" s="187"/>
      <c r="E39" s="193"/>
      <c r="F39" s="187"/>
      <c r="G39" s="193"/>
      <c r="H39" s="188"/>
      <c r="I39" s="188"/>
      <c r="J39" s="188"/>
      <c r="K39" s="188"/>
      <c r="L39" s="188"/>
      <c r="M39" s="188"/>
      <c r="N39" s="188"/>
      <c r="O39" s="188"/>
      <c r="P39" s="187"/>
      <c r="Q39" s="188"/>
      <c r="R39" s="188"/>
      <c r="S39" s="188"/>
      <c r="T39" s="188"/>
      <c r="U39" s="188"/>
      <c r="V39" s="193"/>
      <c r="W39" s="194"/>
      <c r="Y39" s="18"/>
      <c r="Z39" s="23"/>
      <c r="AA39" s="23"/>
      <c r="AB39" s="26"/>
      <c r="AD39" s="124"/>
      <c r="AE39"/>
      <c r="AF39" s="125"/>
    </row>
    <row r="40" spans="1:32" ht="11.25" customHeight="1">
      <c r="A40" s="184"/>
      <c r="B40" s="185"/>
      <c r="C40" s="186"/>
      <c r="D40" s="187"/>
      <c r="E40" s="193"/>
      <c r="F40" s="187"/>
      <c r="G40" s="193"/>
      <c r="H40" s="188"/>
      <c r="I40" s="188"/>
      <c r="J40" s="188"/>
      <c r="K40" s="188"/>
      <c r="L40" s="188"/>
      <c r="M40" s="188"/>
      <c r="N40" s="188"/>
      <c r="O40" s="188"/>
      <c r="P40" s="187"/>
      <c r="Q40" s="188"/>
      <c r="R40" s="188"/>
      <c r="S40" s="188"/>
      <c r="T40" s="188"/>
      <c r="U40" s="188"/>
      <c r="V40" s="193"/>
      <c r="W40" s="194"/>
      <c r="Y40" s="18"/>
      <c r="Z40" s="23"/>
      <c r="AA40" s="23"/>
      <c r="AB40" s="26"/>
      <c r="AD40" s="124"/>
      <c r="AE40"/>
      <c r="AF40" s="125"/>
    </row>
    <row r="41" spans="1:32" ht="11.25" customHeight="1">
      <c r="A41" s="184"/>
      <c r="B41" s="185"/>
      <c r="C41" s="186"/>
      <c r="D41" s="187"/>
      <c r="E41" s="193"/>
      <c r="F41" s="187"/>
      <c r="G41" s="193"/>
      <c r="H41" s="188"/>
      <c r="I41" s="188"/>
      <c r="J41" s="188"/>
      <c r="K41" s="188"/>
      <c r="L41" s="188"/>
      <c r="M41" s="188"/>
      <c r="N41" s="188"/>
      <c r="O41" s="188"/>
      <c r="P41" s="187"/>
      <c r="Q41" s="188"/>
      <c r="R41" s="188"/>
      <c r="S41" s="188"/>
      <c r="T41" s="188"/>
      <c r="U41" s="188"/>
      <c r="V41" s="193"/>
      <c r="W41" s="194"/>
      <c r="Y41" s="18"/>
      <c r="Z41" s="23"/>
      <c r="AA41" s="23"/>
      <c r="AB41" s="26"/>
      <c r="AD41" s="124"/>
      <c r="AE41"/>
      <c r="AF41" s="125"/>
    </row>
    <row r="42" spans="1:32" ht="11.25" customHeight="1">
      <c r="A42" s="184"/>
      <c r="B42" s="129"/>
      <c r="C42" s="186"/>
      <c r="D42" s="187"/>
      <c r="E42" s="193"/>
      <c r="F42" s="187"/>
      <c r="G42" s="193"/>
      <c r="H42" s="188"/>
      <c r="I42" s="188"/>
      <c r="J42" s="188"/>
      <c r="K42" s="188"/>
      <c r="L42" s="188"/>
      <c r="M42" s="188"/>
      <c r="N42" s="188"/>
      <c r="O42" s="188"/>
      <c r="P42" s="187"/>
      <c r="Q42" s="188"/>
      <c r="R42" s="188"/>
      <c r="S42" s="188"/>
      <c r="T42" s="188"/>
      <c r="U42" s="188"/>
      <c r="V42" s="193"/>
      <c r="W42" s="194"/>
      <c r="Y42" s="18"/>
      <c r="Z42" s="23"/>
      <c r="AA42" s="23"/>
      <c r="AB42" s="26"/>
      <c r="AD42" s="124"/>
      <c r="AE42"/>
      <c r="AF42" s="125"/>
    </row>
    <row r="43" spans="1:32" ht="11.25" customHeight="1">
      <c r="A43" s="184"/>
      <c r="B43" s="185"/>
      <c r="C43" s="186"/>
      <c r="D43" s="187"/>
      <c r="E43" s="193"/>
      <c r="F43" s="187"/>
      <c r="G43" s="193"/>
      <c r="H43" s="188"/>
      <c r="I43" s="188"/>
      <c r="J43" s="188"/>
      <c r="K43" s="188"/>
      <c r="L43" s="188"/>
      <c r="M43" s="188"/>
      <c r="N43" s="188"/>
      <c r="O43" s="188"/>
      <c r="P43" s="187"/>
      <c r="Q43" s="188"/>
      <c r="R43" s="188"/>
      <c r="S43" s="188"/>
      <c r="T43" s="188"/>
      <c r="U43" s="188"/>
      <c r="V43" s="193"/>
      <c r="W43" s="194"/>
      <c r="Y43" s="18"/>
      <c r="Z43" s="23"/>
      <c r="AA43" s="23"/>
      <c r="AB43" s="26"/>
      <c r="AD43" s="124"/>
      <c r="AE43"/>
      <c r="AF43" s="125"/>
    </row>
    <row r="44" spans="1:32" ht="11.25" customHeight="1">
      <c r="A44" s="192"/>
      <c r="B44" s="129"/>
      <c r="C44" s="186"/>
      <c r="D44" s="187"/>
      <c r="E44" s="193"/>
      <c r="F44" s="187"/>
      <c r="G44" s="193"/>
      <c r="H44" s="188"/>
      <c r="I44" s="188"/>
      <c r="J44" s="188"/>
      <c r="K44" s="188"/>
      <c r="L44" s="188"/>
      <c r="M44" s="188"/>
      <c r="N44" s="188"/>
      <c r="O44" s="188"/>
      <c r="P44" s="187"/>
      <c r="Q44" s="188"/>
      <c r="R44" s="188"/>
      <c r="S44" s="188"/>
      <c r="T44" s="188"/>
      <c r="U44" s="188"/>
      <c r="V44" s="193"/>
      <c r="W44" s="194"/>
      <c r="Y44" s="18"/>
      <c r="Z44" s="23"/>
      <c r="AA44" s="23"/>
      <c r="AB44" s="26"/>
      <c r="AD44" s="124"/>
      <c r="AE44"/>
      <c r="AF44" s="125"/>
    </row>
    <row r="45" spans="1:32" ht="11.25" customHeight="1">
      <c r="A45" s="29"/>
      <c r="B45" s="140"/>
      <c r="C45" s="199"/>
      <c r="D45" s="187"/>
      <c r="E45" s="193"/>
      <c r="F45" s="187"/>
      <c r="G45" s="193"/>
      <c r="H45" s="188"/>
      <c r="I45" s="188"/>
      <c r="J45" s="188"/>
      <c r="K45" s="188"/>
      <c r="L45" s="188"/>
      <c r="M45" s="188"/>
      <c r="N45" s="188"/>
      <c r="O45" s="188"/>
      <c r="P45" s="187"/>
      <c r="Q45" s="188"/>
      <c r="R45" s="188"/>
      <c r="S45" s="188"/>
      <c r="T45" s="188"/>
      <c r="U45" s="188"/>
      <c r="V45" s="193"/>
      <c r="W45" s="194"/>
      <c r="Y45" s="18"/>
      <c r="Z45" s="23"/>
      <c r="AA45" s="23"/>
      <c r="AB45" s="26"/>
      <c r="AD45" s="124"/>
      <c r="AE45"/>
      <c r="AF45" s="125"/>
    </row>
    <row r="46" spans="1:32">
      <c r="A46" s="29"/>
      <c r="B46" s="140"/>
      <c r="C46" s="199"/>
      <c r="D46" s="200"/>
      <c r="E46" s="202"/>
      <c r="F46" s="200"/>
      <c r="G46" s="202"/>
      <c r="H46" s="201"/>
      <c r="I46" s="201"/>
      <c r="J46" s="201"/>
      <c r="K46" s="201"/>
      <c r="L46" s="201"/>
      <c r="M46" s="201"/>
      <c r="N46" s="201"/>
      <c r="O46" s="202"/>
      <c r="P46" s="200"/>
      <c r="Q46" s="201"/>
      <c r="R46" s="201"/>
      <c r="S46" s="201"/>
      <c r="T46" s="201"/>
      <c r="U46" s="201"/>
      <c r="V46" s="202"/>
      <c r="W46" s="205"/>
      <c r="Y46" s="18"/>
      <c r="Z46" s="23"/>
      <c r="AA46" s="23"/>
      <c r="AB46" s="26"/>
      <c r="AD46" s="124"/>
      <c r="AE46"/>
      <c r="AF46" s="125"/>
    </row>
    <row r="47" spans="1:32">
      <c r="A47" s="29"/>
      <c r="B47" s="99"/>
      <c r="C47" s="145"/>
      <c r="D47" s="147"/>
      <c r="E47" s="149"/>
      <c r="F47" s="147"/>
      <c r="G47" s="149"/>
      <c r="H47" s="148"/>
      <c r="I47" s="148"/>
      <c r="J47" s="148"/>
      <c r="K47" s="148"/>
      <c r="L47" s="148"/>
      <c r="M47" s="148"/>
      <c r="N47" s="148"/>
      <c r="O47" s="148"/>
      <c r="P47" s="147"/>
      <c r="Q47" s="148"/>
      <c r="R47" s="148"/>
      <c r="S47" s="148"/>
      <c r="T47" s="148"/>
      <c r="U47" s="148"/>
      <c r="V47" s="149"/>
      <c r="W47" s="150"/>
      <c r="Y47" s="30"/>
      <c r="Z47" s="48"/>
      <c r="AA47" s="48"/>
      <c r="AB47" s="49"/>
      <c r="AD47" s="126"/>
      <c r="AE47" s="127"/>
      <c r="AF47" s="128"/>
    </row>
    <row r="48" spans="1:32">
      <c r="A48" s="31" t="s">
        <v>134</v>
      </c>
      <c r="B48" s="31"/>
      <c r="C48" s="146"/>
      <c r="D48" s="173">
        <f>SUM(D3:D47)</f>
        <v>0</v>
      </c>
      <c r="E48" s="173">
        <f>SUM(E3:E47)</f>
        <v>0</v>
      </c>
      <c r="F48" s="174">
        <f>SUM(F3:F47)</f>
        <v>0</v>
      </c>
      <c r="G48" s="174">
        <f>SUM(G3:G47)</f>
        <v>0</v>
      </c>
      <c r="H48" s="173">
        <f>SUM(H3:H47)</f>
        <v>0</v>
      </c>
      <c r="I48" s="173">
        <f>SUM(I3:I47)</f>
        <v>0</v>
      </c>
      <c r="J48" s="173">
        <f>SUM(J3:J47)</f>
        <v>0</v>
      </c>
      <c r="K48" s="173">
        <f>SUM(K3:K47)</f>
        <v>0</v>
      </c>
      <c r="L48" s="173">
        <f>SUM(L3:L47)</f>
        <v>0</v>
      </c>
      <c r="M48" s="173">
        <f>SUM(M3:M47)</f>
        <v>0</v>
      </c>
      <c r="N48" s="173">
        <f>SUM(N3:N47)</f>
        <v>0</v>
      </c>
      <c r="O48" s="173">
        <f>SUM(O3:O47)</f>
        <v>0</v>
      </c>
      <c r="P48" s="173">
        <f>SUM(P3:P47)</f>
        <v>0</v>
      </c>
      <c r="Q48" s="173">
        <f>SUM(Q3:Q47)</f>
        <v>0</v>
      </c>
      <c r="R48" s="173">
        <f>SUM(R3:R47)</f>
        <v>0</v>
      </c>
      <c r="S48" s="173">
        <f>SUM(S3:S47)</f>
        <v>0</v>
      </c>
      <c r="T48" s="173">
        <f>SUM(T3:T47)</f>
        <v>0</v>
      </c>
      <c r="U48" s="173">
        <f>SUM(U3:U47)</f>
        <v>0</v>
      </c>
      <c r="V48" s="173">
        <f>SUM(V3:V47)</f>
        <v>0</v>
      </c>
      <c r="Y48" s="100" t="s">
        <v>29</v>
      </c>
      <c r="Z48" s="32">
        <f>SUM(Z4:Z46)</f>
        <v>10581.2</v>
      </c>
      <c r="AA48" s="32">
        <f>SUM(AA4:AA46)</f>
        <v>0</v>
      </c>
      <c r="AB48" s="101">
        <f>SUM(AB4:AB46)</f>
        <v>10581.2</v>
      </c>
      <c r="AC48" s="11"/>
      <c r="AD48" s="100"/>
      <c r="AE48" s="57"/>
      <c r="AF48" s="102"/>
    </row>
    <row r="49" spans="1:31">
      <c r="A49" s="31"/>
      <c r="B49" s="31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Y49" s="31"/>
      <c r="Z49" s="95"/>
      <c r="AA49" s="95"/>
      <c r="AB49" s="95"/>
      <c r="AD49" s="31"/>
      <c r="AE49" s="24"/>
    </row>
    <row r="50" spans="1:31">
      <c r="A50" s="31"/>
      <c r="B50" s="31"/>
      <c r="C50"/>
      <c r="D50"/>
      <c r="E50"/>
      <c r="F50"/>
      <c r="G50"/>
      <c r="H50"/>
      <c r="I50"/>
      <c r="J50"/>
      <c r="K50"/>
      <c r="L50"/>
      <c r="M50"/>
      <c r="Q50" s="111"/>
      <c r="R50" s="96"/>
      <c r="S50" s="96"/>
      <c r="T50" s="96"/>
      <c r="U50" s="96"/>
      <c r="V50" s="96"/>
      <c r="W50" s="96"/>
      <c r="Y50" s="31"/>
      <c r="Z50" s="95"/>
      <c r="AA50" s="95"/>
      <c r="AB50" s="95"/>
      <c r="AD50" s="31"/>
      <c r="AE50" s="24"/>
    </row>
    <row r="51" spans="1:31">
      <c r="A51"/>
      <c r="B51"/>
      <c r="C51"/>
      <c r="D51"/>
      <c r="E51"/>
      <c r="F51"/>
      <c r="G51"/>
      <c r="H51"/>
      <c r="I51"/>
      <c r="J51"/>
      <c r="K51"/>
      <c r="L51"/>
      <c r="M51" s="134"/>
      <c r="N51"/>
      <c r="O51"/>
      <c r="P51"/>
      <c r="Q51"/>
    </row>
    <row r="52" spans="1:3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3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W53" s="638">
        <f>SUM(D48:V48)</f>
        <v>0</v>
      </c>
    </row>
    <row r="54" spans="1:3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3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V55" s="35"/>
      <c r="W55" s="36"/>
      <c r="X55" s="37"/>
      <c r="Y55" s="38" t="s">
        <v>135</v>
      </c>
    </row>
    <row r="56" spans="1:3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V56" s="39" t="s">
        <v>136</v>
      </c>
      <c r="W56" s="40">
        <f>SUM(H48:O48)</f>
        <v>0</v>
      </c>
      <c r="X56" s="37"/>
      <c r="Y56" s="41" t="e">
        <f>W56/W59</f>
        <v>#DIV/0!</v>
      </c>
    </row>
    <row r="57" spans="1:3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V57" s="39" t="s">
        <v>137</v>
      </c>
      <c r="W57" s="40">
        <f>SUM(P48:V48)</f>
        <v>0</v>
      </c>
      <c r="X57" s="37"/>
      <c r="Y57" s="41" t="e">
        <f>W57/W59</f>
        <v>#DIV/0!</v>
      </c>
    </row>
    <row r="58" spans="1:3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V58" s="39" t="s">
        <v>138</v>
      </c>
      <c r="W58" s="42">
        <f>E48+D48</f>
        <v>0</v>
      </c>
      <c r="X58" s="37"/>
      <c r="Y58" s="41" t="e">
        <f>W58/W59</f>
        <v>#DIV/0!</v>
      </c>
    </row>
    <row r="59" spans="1:3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V59" s="39" t="s">
        <v>56</v>
      </c>
      <c r="W59" s="639">
        <f>SUM(W56:W58)</f>
        <v>0</v>
      </c>
      <c r="X59" s="37"/>
      <c r="Y59" s="43"/>
    </row>
    <row r="60" spans="1:3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V60" s="35"/>
      <c r="W60" s="36"/>
      <c r="X60" s="37"/>
      <c r="Y60" s="37"/>
    </row>
    <row r="61" spans="1:3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V61" s="35"/>
      <c r="W61" s="44">
        <f>W59-W53</f>
        <v>0</v>
      </c>
      <c r="X61" s="37"/>
      <c r="Y61" s="37"/>
    </row>
    <row r="62" spans="1:3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3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3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>
      <c r="A66"/>
      <c r="B66"/>
      <c r="G66"/>
      <c r="H66"/>
      <c r="I66"/>
      <c r="J66"/>
      <c r="K66"/>
      <c r="L66"/>
      <c r="M66"/>
      <c r="N66"/>
      <c r="O66"/>
      <c r="P66"/>
      <c r="Q66"/>
    </row>
    <row r="67" spans="1:17">
      <c r="A67"/>
      <c r="B67"/>
      <c r="G67"/>
      <c r="H67"/>
      <c r="I67"/>
      <c r="J67"/>
      <c r="K67"/>
      <c r="L67"/>
      <c r="M67"/>
      <c r="N67"/>
      <c r="O67"/>
      <c r="P67"/>
      <c r="Q67"/>
    </row>
    <row r="68" spans="1:17">
      <c r="A68"/>
      <c r="B68"/>
      <c r="G68"/>
      <c r="H68"/>
      <c r="I68"/>
      <c r="J68"/>
      <c r="K68"/>
      <c r="L68"/>
      <c r="M68"/>
      <c r="N68"/>
      <c r="O68"/>
      <c r="P68"/>
      <c r="Q68"/>
    </row>
    <row r="69" spans="1:17">
      <c r="A69"/>
      <c r="B69"/>
      <c r="C69"/>
      <c r="G69"/>
      <c r="H69"/>
      <c r="I69"/>
      <c r="J69"/>
      <c r="K69"/>
      <c r="L69"/>
      <c r="M69"/>
      <c r="N69"/>
      <c r="O69"/>
      <c r="P69"/>
      <c r="Q69"/>
    </row>
    <row r="70" spans="1:17">
      <c r="A70"/>
      <c r="B70"/>
      <c r="G70"/>
      <c r="H70"/>
      <c r="I70"/>
      <c r="J70"/>
      <c r="K70"/>
      <c r="L70"/>
      <c r="M70"/>
      <c r="N70"/>
      <c r="O70"/>
      <c r="P70"/>
      <c r="Q70"/>
    </row>
    <row r="71" spans="1:17">
      <c r="A71"/>
      <c r="B71"/>
      <c r="G71"/>
      <c r="H71"/>
      <c r="I71"/>
      <c r="J71"/>
      <c r="K71"/>
      <c r="L71"/>
      <c r="M71"/>
      <c r="N71"/>
      <c r="O71"/>
      <c r="P71"/>
      <c r="Q71"/>
    </row>
    <row r="72" spans="1:17">
      <c r="A72"/>
      <c r="B72"/>
      <c r="G72"/>
      <c r="H72"/>
      <c r="I72"/>
      <c r="J72"/>
      <c r="K72"/>
      <c r="L72"/>
      <c r="M72"/>
      <c r="N72"/>
      <c r="O72"/>
      <c r="P72"/>
      <c r="Q72"/>
    </row>
    <row r="73" spans="1:17">
      <c r="A73"/>
      <c r="B73"/>
      <c r="G73"/>
      <c r="H73"/>
      <c r="I73"/>
      <c r="J73"/>
      <c r="K73"/>
      <c r="L73"/>
      <c r="M73"/>
      <c r="N73"/>
      <c r="O73"/>
      <c r="P73"/>
      <c r="Q73"/>
    </row>
    <row r="74" spans="1:17">
      <c r="A74"/>
      <c r="B74"/>
      <c r="G74"/>
      <c r="H74"/>
      <c r="I74"/>
      <c r="J74"/>
      <c r="K74"/>
      <c r="L74"/>
      <c r="M74"/>
      <c r="N74"/>
      <c r="O74"/>
      <c r="P74"/>
      <c r="Q74"/>
    </row>
    <row r="75" spans="1:17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>
      <c r="B76"/>
      <c r="C76"/>
      <c r="D76"/>
      <c r="E76"/>
      <c r="F76"/>
      <c r="G76"/>
      <c r="H76"/>
      <c r="I76"/>
      <c r="J76"/>
      <c r="K76"/>
      <c r="L76"/>
      <c r="M76"/>
    </row>
    <row r="77" spans="1:17">
      <c r="B77"/>
      <c r="C77"/>
      <c r="D77"/>
      <c r="E77"/>
      <c r="F77"/>
      <c r="G77"/>
      <c r="H77"/>
      <c r="I77"/>
      <c r="J77"/>
      <c r="K77"/>
      <c r="L77"/>
      <c r="M77"/>
    </row>
    <row r="78" spans="1:17">
      <c r="B78"/>
      <c r="C78"/>
      <c r="D78"/>
      <c r="E78"/>
      <c r="F78"/>
      <c r="G78"/>
      <c r="H78"/>
      <c r="I78"/>
      <c r="J78"/>
      <c r="K78"/>
      <c r="L78"/>
      <c r="M78"/>
    </row>
    <row r="79" spans="1:17">
      <c r="B79"/>
      <c r="C79"/>
      <c r="D79"/>
      <c r="E79"/>
      <c r="F79"/>
      <c r="G79"/>
      <c r="H79"/>
      <c r="I79"/>
      <c r="J79"/>
      <c r="K79"/>
      <c r="L79"/>
      <c r="M79"/>
    </row>
    <row r="80" spans="1:17">
      <c r="B80"/>
      <c r="C80"/>
      <c r="D80"/>
      <c r="E80"/>
      <c r="F80"/>
      <c r="G80"/>
      <c r="H80"/>
      <c r="I80"/>
      <c r="J80"/>
      <c r="K80"/>
      <c r="L80"/>
      <c r="M80"/>
    </row>
    <row r="81" spans="2:13">
      <c r="B81"/>
      <c r="C81"/>
      <c r="D81"/>
      <c r="E81"/>
      <c r="F81"/>
      <c r="G81"/>
      <c r="H81"/>
      <c r="I81"/>
      <c r="J81"/>
      <c r="K81"/>
      <c r="L81"/>
      <c r="M81"/>
    </row>
    <row r="82" spans="2:13">
      <c r="B82"/>
      <c r="C82"/>
      <c r="D82"/>
      <c r="E82"/>
      <c r="F82"/>
      <c r="G82"/>
    </row>
    <row r="83" spans="2:13">
      <c r="B83"/>
      <c r="C83"/>
      <c r="D83"/>
      <c r="E83"/>
      <c r="F83"/>
      <c r="G83"/>
    </row>
    <row r="84" spans="2:13">
      <c r="B84"/>
      <c r="C84"/>
      <c r="D84"/>
      <c r="E84"/>
      <c r="F84"/>
      <c r="G84"/>
    </row>
    <row r="85" spans="2:13">
      <c r="B85"/>
      <c r="C85"/>
      <c r="D85"/>
      <c r="E85"/>
      <c r="F85"/>
      <c r="G85"/>
    </row>
    <row r="86" spans="2:13">
      <c r="B86"/>
      <c r="C86"/>
      <c r="D86"/>
      <c r="E86"/>
      <c r="F86"/>
      <c r="G86"/>
    </row>
    <row r="87" spans="2:13">
      <c r="B87"/>
      <c r="C87"/>
      <c r="D87"/>
      <c r="E87"/>
      <c r="F87"/>
      <c r="G87"/>
    </row>
    <row r="88" spans="2:13">
      <c r="B88"/>
      <c r="C88"/>
      <c r="D88"/>
      <c r="E88"/>
      <c r="F88"/>
      <c r="G88"/>
    </row>
    <row r="89" spans="2:13">
      <c r="B89"/>
      <c r="C89"/>
      <c r="D89"/>
      <c r="E89"/>
      <c r="F89"/>
      <c r="G89"/>
    </row>
    <row r="90" spans="2:13">
      <c r="B90"/>
      <c r="C90"/>
      <c r="D90"/>
      <c r="E90"/>
      <c r="F90"/>
      <c r="G90"/>
    </row>
    <row r="91" spans="2:13">
      <c r="B91"/>
      <c r="C91"/>
      <c r="D91"/>
      <c r="E91"/>
      <c r="F91"/>
      <c r="G91"/>
    </row>
    <row r="92" spans="2:13">
      <c r="B92"/>
      <c r="C92"/>
      <c r="D92"/>
      <c r="E92"/>
      <c r="F92"/>
      <c r="G92"/>
    </row>
    <row r="93" spans="2:13">
      <c r="B93"/>
      <c r="C93"/>
      <c r="D93"/>
      <c r="E93"/>
      <c r="F93"/>
      <c r="G93"/>
    </row>
    <row r="94" spans="2:13">
      <c r="B94"/>
      <c r="C94"/>
      <c r="D94"/>
      <c r="E94"/>
      <c r="F94"/>
      <c r="G94"/>
    </row>
    <row r="95" spans="2:13">
      <c r="B95"/>
      <c r="C95"/>
      <c r="D95"/>
      <c r="E95"/>
      <c r="F95"/>
      <c r="G95"/>
    </row>
    <row r="96" spans="2:13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</sheetData>
  <mergeCells count="6">
    <mergeCell ref="D1:E1"/>
    <mergeCell ref="F1:G1"/>
    <mergeCell ref="Y2:AB2"/>
    <mergeCell ref="AD2:AF2"/>
    <mergeCell ref="H1:O1"/>
    <mergeCell ref="P1:V1"/>
  </mergeCells>
  <phoneticPr fontId="2" type="noConversion"/>
  <pageMargins left="0.7" right="0.7" top="0.75" bottom="0.75" header="0.3" footer="0.3"/>
  <pageSetup paperSize="1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31"/>
  <sheetViews>
    <sheetView topLeftCell="J1" zoomScale="85" zoomScaleNormal="85" zoomScalePageLayoutView="85" workbookViewId="0">
      <selection activeCell="AE15" sqref="AE15:AE21"/>
    </sheetView>
  </sheetViews>
  <sheetFormatPr defaultColWidth="8.85546875" defaultRowHeight="12.75"/>
  <cols>
    <col min="1" max="1" width="9.42578125" style="2" bestFit="1" customWidth="1"/>
    <col min="2" max="2" width="18.28515625" style="2" bestFit="1" customWidth="1"/>
    <col min="3" max="3" width="17.28515625" style="2" customWidth="1"/>
    <col min="4" max="5" width="10.7109375" style="2" bestFit="1" customWidth="1"/>
    <col min="6" max="6" width="8.85546875" style="2" bestFit="1" customWidth="1"/>
    <col min="7" max="7" width="9.42578125" style="2" bestFit="1" customWidth="1"/>
    <col min="8" max="9" width="12" style="105" bestFit="1" customWidth="1"/>
    <col min="10" max="10" width="14" style="105" customWidth="1"/>
    <col min="11" max="13" width="12" style="105" bestFit="1" customWidth="1"/>
    <col min="14" max="14" width="10.7109375" style="105" bestFit="1" customWidth="1"/>
    <col min="15" max="18" width="12" style="105" bestFit="1" customWidth="1"/>
    <col min="19" max="19" width="12" style="105" customWidth="1"/>
    <col min="20" max="20" width="12" style="105" bestFit="1" customWidth="1"/>
    <col min="21" max="21" width="11.28515625" style="105" bestFit="1" customWidth="1"/>
    <col min="22" max="22" width="15.42578125" style="105" customWidth="1"/>
    <col min="23" max="23" width="15.42578125" style="33" bestFit="1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8554687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3" t="s">
        <v>91</v>
      </c>
      <c r="B2" s="31" t="s">
        <v>114</v>
      </c>
      <c r="C2" s="63" t="s">
        <v>115</v>
      </c>
      <c r="D2" s="137" t="s">
        <v>116</v>
      </c>
      <c r="E2" s="141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176"/>
      <c r="B3" s="177"/>
      <c r="C3" s="178"/>
      <c r="D3" s="179"/>
      <c r="E3" s="180"/>
      <c r="F3" s="182"/>
      <c r="G3" s="181"/>
      <c r="H3" s="180"/>
      <c r="I3" s="180"/>
      <c r="J3" s="180"/>
      <c r="K3" s="180"/>
      <c r="L3" s="180"/>
      <c r="M3" s="180"/>
      <c r="N3" s="180"/>
      <c r="O3" s="180"/>
      <c r="P3" s="179"/>
      <c r="Q3" s="180"/>
      <c r="R3" s="180"/>
      <c r="S3" s="180"/>
      <c r="T3" s="180"/>
      <c r="U3" s="180"/>
      <c r="V3" s="181"/>
      <c r="W3" s="183"/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184"/>
      <c r="B4" s="129"/>
      <c r="C4" s="210"/>
      <c r="D4" s="187"/>
      <c r="E4" s="188"/>
      <c r="F4" s="187"/>
      <c r="G4" s="193"/>
      <c r="H4" s="188"/>
      <c r="I4" s="188"/>
      <c r="J4" s="188"/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194"/>
      <c r="Y4" s="18" t="s">
        <v>8</v>
      </c>
      <c r="Z4" s="23">
        <f>Summary!AI21</f>
        <v>350</v>
      </c>
      <c r="AA4" s="23">
        <f>SUMIF($C$2:$C$42,Y4,$F$2:$F$42)+SUMIF($C$2:$C$42,Y4,$G$2:$G$42)</f>
        <v>0</v>
      </c>
      <c r="AB4" s="26">
        <f t="shared" ref="AB4:AB21" si="0">Z4+AA4</f>
        <v>350</v>
      </c>
      <c r="AD4" s="18"/>
      <c r="AE4" s="19"/>
      <c r="AF4" s="103"/>
    </row>
    <row r="5" spans="1:33">
      <c r="A5" s="184"/>
      <c r="B5" s="129"/>
      <c r="C5" s="211"/>
      <c r="D5" s="187"/>
      <c r="E5" s="188"/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194"/>
      <c r="Y5" s="18" t="s">
        <v>9</v>
      </c>
      <c r="Z5" s="23">
        <f>Summary!AI22</f>
        <v>335</v>
      </c>
      <c r="AA5" s="23">
        <f t="shared" ref="AA5:AA23" si="1">SUMIF($C$2:$C$42,Y5,$F$2:$F$42)+SUMIF($C$2:$C$42,Y5,$G$2:$G$42)</f>
        <v>0</v>
      </c>
      <c r="AB5" s="26">
        <f t="shared" si="0"/>
        <v>335</v>
      </c>
      <c r="AD5" s="21" t="s">
        <v>128</v>
      </c>
      <c r="AE5" s="19"/>
      <c r="AF5" s="20"/>
    </row>
    <row r="6" spans="1:33">
      <c r="A6" s="184"/>
      <c r="B6" s="129"/>
      <c r="C6" s="211"/>
      <c r="D6" s="187"/>
      <c r="E6" s="188"/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3"/>
      <c r="W6" s="194"/>
      <c r="Y6" s="18" t="s">
        <v>10</v>
      </c>
      <c r="Z6" s="23">
        <f>Summary!AI23</f>
        <v>0</v>
      </c>
      <c r="AA6" s="23">
        <f t="shared" si="1"/>
        <v>0</v>
      </c>
      <c r="AB6" s="26">
        <f t="shared" si="0"/>
        <v>0</v>
      </c>
      <c r="AD6" s="18" t="s">
        <v>49</v>
      </c>
      <c r="AE6" s="22"/>
      <c r="AF6" s="20"/>
    </row>
    <row r="7" spans="1:33">
      <c r="A7" s="184"/>
      <c r="B7" s="129"/>
      <c r="C7" s="211"/>
      <c r="D7" s="187"/>
      <c r="E7" s="188"/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194"/>
      <c r="Y7" s="47" t="s">
        <v>11</v>
      </c>
      <c r="Z7" s="23">
        <f>Summary!AI24</f>
        <v>20</v>
      </c>
      <c r="AA7" s="23">
        <f t="shared" si="1"/>
        <v>0</v>
      </c>
      <c r="AB7" s="26">
        <f t="shared" si="0"/>
        <v>20</v>
      </c>
      <c r="AD7" s="18" t="s">
        <v>129</v>
      </c>
      <c r="AE7" s="23"/>
      <c r="AF7" s="20"/>
    </row>
    <row r="8" spans="1:33">
      <c r="A8" s="184"/>
      <c r="B8" s="129"/>
      <c r="C8" s="211"/>
      <c r="D8" s="187"/>
      <c r="E8" s="188"/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93"/>
      <c r="W8" s="194"/>
      <c r="Y8" s="18" t="s">
        <v>12</v>
      </c>
      <c r="Z8" s="23">
        <f>Summary!AI25</f>
        <v>700</v>
      </c>
      <c r="AA8" s="23">
        <f t="shared" si="1"/>
        <v>0</v>
      </c>
      <c r="AB8" s="26">
        <f t="shared" si="0"/>
        <v>700</v>
      </c>
      <c r="AD8" s="18" t="s">
        <v>111</v>
      </c>
      <c r="AE8" s="23"/>
      <c r="AF8" s="20"/>
    </row>
    <row r="9" spans="1:33">
      <c r="A9" s="184"/>
      <c r="B9" s="129"/>
      <c r="C9" s="211"/>
      <c r="D9" s="187"/>
      <c r="E9" s="188"/>
      <c r="F9" s="187"/>
      <c r="G9" s="193"/>
      <c r="H9" s="188"/>
      <c r="I9" s="188"/>
      <c r="J9" s="188"/>
      <c r="K9" s="188"/>
      <c r="L9" s="188"/>
      <c r="M9" s="188"/>
      <c r="N9" s="188"/>
      <c r="O9" s="188"/>
      <c r="P9" s="187"/>
      <c r="Q9" s="188"/>
      <c r="R9" s="188"/>
      <c r="S9" s="188"/>
      <c r="T9" s="188"/>
      <c r="U9" s="188"/>
      <c r="V9" s="194"/>
      <c r="W9" s="194"/>
      <c r="Y9" s="18" t="s">
        <v>13</v>
      </c>
      <c r="Z9" s="23">
        <f>Summary!AI26</f>
        <v>1300</v>
      </c>
      <c r="AA9" s="23">
        <f t="shared" si="1"/>
        <v>0</v>
      </c>
      <c r="AB9" s="26">
        <f t="shared" si="0"/>
        <v>1300</v>
      </c>
      <c r="AD9" s="18" t="s">
        <v>130</v>
      </c>
      <c r="AE9" s="22"/>
      <c r="AF9" s="20"/>
    </row>
    <row r="10" spans="1:33">
      <c r="A10" s="184"/>
      <c r="B10" s="129"/>
      <c r="C10" s="211"/>
      <c r="D10" s="187"/>
      <c r="E10" s="188"/>
      <c r="F10" s="187"/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194"/>
      <c r="Y10" s="18" t="s">
        <v>14</v>
      </c>
      <c r="Z10" s="23">
        <f>Summary!AI27</f>
        <v>150</v>
      </c>
      <c r="AA10" s="23">
        <f t="shared" si="1"/>
        <v>0</v>
      </c>
      <c r="AB10" s="26">
        <f t="shared" si="0"/>
        <v>150</v>
      </c>
      <c r="AD10" s="18" t="s">
        <v>131</v>
      </c>
      <c r="AE10" s="22"/>
      <c r="AF10" s="20"/>
    </row>
    <row r="11" spans="1:33">
      <c r="A11" s="184"/>
      <c r="B11" s="129"/>
      <c r="C11" s="211"/>
      <c r="D11" s="187"/>
      <c r="E11" s="188"/>
      <c r="F11" s="187"/>
      <c r="G11" s="193"/>
      <c r="H11" s="188"/>
      <c r="I11" s="188"/>
      <c r="J11" s="195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194"/>
      <c r="Y11" s="18" t="s">
        <v>15</v>
      </c>
      <c r="Z11" s="23">
        <f>Summary!AI28</f>
        <v>200</v>
      </c>
      <c r="AA11" s="23">
        <f t="shared" si="1"/>
        <v>0</v>
      </c>
      <c r="AB11" s="26">
        <f>Z11+AA11</f>
        <v>200</v>
      </c>
      <c r="AD11" s="18" t="s">
        <v>124</v>
      </c>
      <c r="AE11" s="22"/>
      <c r="AF11" s="20"/>
    </row>
    <row r="12" spans="1:33">
      <c r="A12" s="184"/>
      <c r="B12" s="129"/>
      <c r="C12" s="211"/>
      <c r="D12" s="187"/>
      <c r="E12" s="188"/>
      <c r="F12" s="187"/>
      <c r="G12" s="193"/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194"/>
      <c r="Y12" s="18" t="s">
        <v>16</v>
      </c>
      <c r="Z12" s="23">
        <f>Summary!AI29</f>
        <v>50</v>
      </c>
      <c r="AA12" s="23">
        <f t="shared" si="1"/>
        <v>0</v>
      </c>
      <c r="AB12" s="26">
        <f>Z12+AA12</f>
        <v>50</v>
      </c>
      <c r="AD12" s="21" t="s">
        <v>29</v>
      </c>
      <c r="AE12" s="637">
        <f>SUM(AE6:AE11)</f>
        <v>0</v>
      </c>
      <c r="AF12" s="20"/>
    </row>
    <row r="13" spans="1:33">
      <c r="A13" s="184"/>
      <c r="B13" s="129"/>
      <c r="C13" s="211"/>
      <c r="D13" s="187"/>
      <c r="E13" s="188"/>
      <c r="F13" s="187"/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194"/>
      <c r="Y13" s="18" t="s">
        <v>17</v>
      </c>
      <c r="Z13" s="23">
        <f>Summary!AI30</f>
        <v>1000</v>
      </c>
      <c r="AA13" s="23">
        <f t="shared" si="1"/>
        <v>0</v>
      </c>
      <c r="AB13" s="26">
        <f t="shared" si="0"/>
        <v>1000</v>
      </c>
      <c r="AD13" s="18"/>
      <c r="AE13" s="24"/>
      <c r="AF13" s="20"/>
    </row>
    <row r="14" spans="1:33">
      <c r="A14" s="192"/>
      <c r="B14" s="129"/>
      <c r="C14" s="211"/>
      <c r="D14" s="187"/>
      <c r="E14" s="188"/>
      <c r="F14" s="187"/>
      <c r="G14" s="193"/>
      <c r="H14" s="188"/>
      <c r="I14" s="188"/>
      <c r="J14" s="188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194"/>
      <c r="Y14" s="18" t="s">
        <v>18</v>
      </c>
      <c r="Z14" s="23">
        <f>Summary!AI31</f>
        <v>200</v>
      </c>
      <c r="AA14" s="23">
        <f t="shared" si="1"/>
        <v>0</v>
      </c>
      <c r="AB14" s="26">
        <f t="shared" si="0"/>
        <v>200</v>
      </c>
      <c r="AD14" s="21" t="s">
        <v>132</v>
      </c>
      <c r="AE14" s="19"/>
      <c r="AF14" s="20"/>
    </row>
    <row r="15" spans="1:33">
      <c r="A15" s="192"/>
      <c r="B15" s="129"/>
      <c r="C15" s="211"/>
      <c r="D15" s="187"/>
      <c r="E15" s="188"/>
      <c r="F15" s="187"/>
      <c r="G15" s="193"/>
      <c r="H15" s="188"/>
      <c r="I15" s="188"/>
      <c r="J15" s="188"/>
      <c r="K15" s="188"/>
      <c r="L15" s="188"/>
      <c r="M15" s="188"/>
      <c r="N15" s="188"/>
      <c r="O15" s="193"/>
      <c r="P15" s="187"/>
      <c r="Q15" s="188"/>
      <c r="R15" s="188"/>
      <c r="S15" s="188"/>
      <c r="T15" s="188"/>
      <c r="U15" s="188"/>
      <c r="V15" s="193"/>
      <c r="W15" s="194"/>
      <c r="Y15" s="18" t="s">
        <v>19</v>
      </c>
      <c r="Z15" s="23">
        <f>Summary!AI32</f>
        <v>0</v>
      </c>
      <c r="AA15" s="23">
        <f t="shared" si="1"/>
        <v>0</v>
      </c>
      <c r="AB15" s="26">
        <f t="shared" si="0"/>
        <v>0</v>
      </c>
      <c r="AD15" s="18" t="s">
        <v>49</v>
      </c>
      <c r="AE15" s="23"/>
      <c r="AF15" s="20"/>
    </row>
    <row r="16" spans="1:33">
      <c r="A16" s="192"/>
      <c r="B16" s="129"/>
      <c r="C16" s="211"/>
      <c r="D16" s="187"/>
      <c r="E16" s="188"/>
      <c r="F16" s="187"/>
      <c r="G16" s="193"/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194"/>
      <c r="Y16" s="18" t="s">
        <v>20</v>
      </c>
      <c r="Z16" s="23">
        <f>Summary!AI33</f>
        <v>500</v>
      </c>
      <c r="AA16" s="23">
        <f t="shared" si="1"/>
        <v>0</v>
      </c>
      <c r="AB16" s="26">
        <f t="shared" si="0"/>
        <v>500</v>
      </c>
      <c r="AD16" s="18" t="s">
        <v>129</v>
      </c>
      <c r="AE16" s="23"/>
      <c r="AF16" s="20"/>
    </row>
    <row r="17" spans="1:32">
      <c r="A17" s="192"/>
      <c r="B17" s="129"/>
      <c r="C17" s="211"/>
      <c r="D17" s="187"/>
      <c r="E17" s="188"/>
      <c r="F17" s="187"/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194"/>
      <c r="Y17" s="18" t="s">
        <v>21</v>
      </c>
      <c r="Z17" s="23">
        <f>Summary!AI34</f>
        <v>800</v>
      </c>
      <c r="AA17" s="23">
        <f t="shared" si="1"/>
        <v>0</v>
      </c>
      <c r="AB17" s="26">
        <f t="shared" si="0"/>
        <v>800</v>
      </c>
      <c r="AD17" s="18" t="s">
        <v>50</v>
      </c>
      <c r="AE17" s="23"/>
      <c r="AF17" s="20"/>
    </row>
    <row r="18" spans="1:32">
      <c r="A18" s="192"/>
      <c r="B18" s="185"/>
      <c r="C18" s="211"/>
      <c r="D18" s="187"/>
      <c r="E18" s="188"/>
      <c r="F18" s="187"/>
      <c r="G18" s="193"/>
      <c r="H18" s="188"/>
      <c r="I18" s="188"/>
      <c r="J18" s="188"/>
      <c r="K18" s="188"/>
      <c r="L18" s="188"/>
      <c r="M18" s="188"/>
      <c r="N18" s="188"/>
      <c r="O18" s="193"/>
      <c r="P18" s="187"/>
      <c r="Q18" s="188"/>
      <c r="R18" s="188"/>
      <c r="S18" s="188"/>
      <c r="T18" s="188"/>
      <c r="U18" s="188"/>
      <c r="V18" s="193"/>
      <c r="W18" s="194"/>
      <c r="Y18" s="18" t="s">
        <v>22</v>
      </c>
      <c r="Z18" s="23">
        <f>Summary!AI35</f>
        <v>4100</v>
      </c>
      <c r="AA18" s="23">
        <f t="shared" si="1"/>
        <v>0</v>
      </c>
      <c r="AB18" s="26">
        <f t="shared" si="0"/>
        <v>4100</v>
      </c>
      <c r="AD18" s="18" t="s">
        <v>130</v>
      </c>
      <c r="AE18" s="23"/>
      <c r="AF18" s="20"/>
    </row>
    <row r="19" spans="1:32">
      <c r="A19" s="184"/>
      <c r="B19" s="185"/>
      <c r="C19" s="211"/>
      <c r="D19" s="187"/>
      <c r="E19" s="188"/>
      <c r="F19" s="187"/>
      <c r="G19" s="193"/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194"/>
      <c r="Y19" s="18" t="s">
        <v>23</v>
      </c>
      <c r="Z19" s="23">
        <f>Summary!AI36</f>
        <v>176.2</v>
      </c>
      <c r="AA19" s="23">
        <f t="shared" si="1"/>
        <v>0</v>
      </c>
      <c r="AB19" s="26">
        <f t="shared" si="0"/>
        <v>176.2</v>
      </c>
      <c r="AD19" s="18" t="s">
        <v>131</v>
      </c>
      <c r="AE19" s="23"/>
      <c r="AF19" s="20"/>
    </row>
    <row r="20" spans="1:32">
      <c r="A20" s="184"/>
      <c r="B20" s="129"/>
      <c r="C20" s="211"/>
      <c r="D20" s="187"/>
      <c r="E20" s="188"/>
      <c r="F20" s="187"/>
      <c r="G20" s="193"/>
      <c r="H20" s="188"/>
      <c r="I20" s="188"/>
      <c r="J20" s="188"/>
      <c r="K20" s="188"/>
      <c r="L20" s="188"/>
      <c r="M20" s="188"/>
      <c r="N20" s="188"/>
      <c r="O20" s="188"/>
      <c r="P20" s="187"/>
      <c r="Q20" s="188"/>
      <c r="R20" s="188"/>
      <c r="S20" s="188"/>
      <c r="T20" s="188"/>
      <c r="U20" s="188"/>
      <c r="V20" s="193"/>
      <c r="W20" s="194"/>
      <c r="Y20" s="18" t="s">
        <v>24</v>
      </c>
      <c r="Z20" s="23">
        <f>Summary!AI37</f>
        <v>500</v>
      </c>
      <c r="AA20" s="23">
        <f t="shared" si="1"/>
        <v>0</v>
      </c>
      <c r="AB20" s="26">
        <f t="shared" si="0"/>
        <v>500</v>
      </c>
      <c r="AD20" s="18" t="s">
        <v>124</v>
      </c>
      <c r="AE20" s="23"/>
      <c r="AF20" s="20"/>
    </row>
    <row r="21" spans="1:32">
      <c r="A21" s="184"/>
      <c r="B21" s="185"/>
      <c r="C21" s="211"/>
      <c r="D21" s="187"/>
      <c r="E21" s="188"/>
      <c r="F21" s="187"/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194"/>
      <c r="Y21" s="18" t="s">
        <v>25</v>
      </c>
      <c r="Z21" s="23">
        <f>Summary!AI38</f>
        <v>500</v>
      </c>
      <c r="AA21" s="23">
        <f t="shared" si="1"/>
        <v>0</v>
      </c>
      <c r="AB21" s="26">
        <f t="shared" si="0"/>
        <v>500</v>
      </c>
      <c r="AD21" s="18" t="s">
        <v>133</v>
      </c>
      <c r="AE21" s="104"/>
      <c r="AF21" s="20"/>
    </row>
    <row r="22" spans="1:32">
      <c r="A22" s="192"/>
      <c r="B22" s="129"/>
      <c r="C22" s="211"/>
      <c r="D22" s="187"/>
      <c r="E22" s="188"/>
      <c r="F22" s="187"/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194"/>
      <c r="Y22" s="18" t="s">
        <v>26</v>
      </c>
      <c r="Z22" s="23">
        <f>Summary!AI39</f>
        <v>200</v>
      </c>
      <c r="AA22" s="23">
        <f t="shared" si="1"/>
        <v>0</v>
      </c>
      <c r="AB22" s="26">
        <f>Z22+AA22</f>
        <v>200</v>
      </c>
      <c r="AD22" s="21" t="s">
        <v>29</v>
      </c>
      <c r="AE22" s="637">
        <f>SUM(AE15:AE21)</f>
        <v>0</v>
      </c>
      <c r="AF22" s="20"/>
    </row>
    <row r="23" spans="1:32">
      <c r="A23" s="198"/>
      <c r="B23" s="129"/>
      <c r="C23" s="211"/>
      <c r="D23" s="187"/>
      <c r="E23" s="188"/>
      <c r="F23" s="187"/>
      <c r="G23" s="193"/>
      <c r="H23" s="188"/>
      <c r="I23" s="188"/>
      <c r="J23" s="188"/>
      <c r="K23" s="188"/>
      <c r="L23" s="188"/>
      <c r="M23" s="188"/>
      <c r="N23" s="188"/>
      <c r="O23" s="193"/>
      <c r="P23" s="187"/>
      <c r="Q23" s="188"/>
      <c r="R23" s="188"/>
      <c r="S23" s="188"/>
      <c r="T23" s="188"/>
      <c r="U23" s="188"/>
      <c r="V23" s="188"/>
      <c r="W23" s="191"/>
      <c r="Y23" s="18" t="s">
        <v>27</v>
      </c>
      <c r="Z23" s="23">
        <f>Summary!AI40</f>
        <v>0</v>
      </c>
      <c r="AA23" s="23">
        <f t="shared" si="1"/>
        <v>0</v>
      </c>
      <c r="AB23" s="26">
        <f>Z23+AA23</f>
        <v>0</v>
      </c>
      <c r="AD23" s="124"/>
      <c r="AE23"/>
      <c r="AF23" s="125"/>
    </row>
    <row r="24" spans="1:32">
      <c r="A24" s="198"/>
      <c r="B24" s="129"/>
      <c r="C24" s="211"/>
      <c r="D24" s="187"/>
      <c r="E24" s="188"/>
      <c r="F24" s="187"/>
      <c r="G24" s="193"/>
      <c r="H24" s="188"/>
      <c r="I24" s="188"/>
      <c r="J24" s="188"/>
      <c r="K24" s="188"/>
      <c r="L24" s="188"/>
      <c r="M24" s="188"/>
      <c r="N24" s="188"/>
      <c r="O24" s="193"/>
      <c r="P24" s="187"/>
      <c r="Q24" s="188"/>
      <c r="R24" s="188"/>
      <c r="S24" s="188"/>
      <c r="T24" s="188"/>
      <c r="U24" s="188"/>
      <c r="V24" s="188"/>
      <c r="W24" s="191"/>
      <c r="Y24" s="18"/>
      <c r="Z24" s="23"/>
      <c r="AA24" s="23"/>
      <c r="AB24" s="26"/>
      <c r="AD24" s="124"/>
      <c r="AE24"/>
      <c r="AF24" s="125"/>
    </row>
    <row r="25" spans="1:32">
      <c r="A25" s="198"/>
      <c r="B25" s="129"/>
      <c r="C25" s="211"/>
      <c r="D25" s="187"/>
      <c r="E25" s="188"/>
      <c r="F25" s="187"/>
      <c r="G25" s="193"/>
      <c r="H25" s="188"/>
      <c r="I25" s="188"/>
      <c r="J25" s="188"/>
      <c r="K25" s="188"/>
      <c r="L25" s="188"/>
      <c r="M25" s="188"/>
      <c r="N25" s="188"/>
      <c r="O25" s="193"/>
      <c r="P25" s="187"/>
      <c r="Q25" s="188"/>
      <c r="R25" s="188"/>
      <c r="S25" s="188"/>
      <c r="T25" s="188"/>
      <c r="U25" s="188"/>
      <c r="V25" s="188"/>
      <c r="W25" s="191"/>
      <c r="Y25" s="18"/>
      <c r="Z25" s="23"/>
      <c r="AA25" s="23"/>
      <c r="AB25" s="26"/>
      <c r="AD25" s="124"/>
      <c r="AE25"/>
      <c r="AF25" s="125"/>
    </row>
    <row r="26" spans="1:32" ht="11.25" customHeight="1">
      <c r="A26" s="198"/>
      <c r="B26" s="129"/>
      <c r="C26" s="211"/>
      <c r="D26" s="187"/>
      <c r="E26" s="188"/>
      <c r="F26" s="187"/>
      <c r="G26" s="193"/>
      <c r="H26" s="188"/>
      <c r="I26" s="188"/>
      <c r="J26" s="188"/>
      <c r="K26" s="188"/>
      <c r="L26" s="188"/>
      <c r="M26" s="188"/>
      <c r="N26" s="188"/>
      <c r="O26" s="193"/>
      <c r="P26" s="187"/>
      <c r="Q26" s="188"/>
      <c r="R26" s="188"/>
      <c r="S26" s="188"/>
      <c r="T26" s="188"/>
      <c r="U26" s="188"/>
      <c r="V26" s="188"/>
      <c r="W26" s="191"/>
      <c r="Y26" s="18"/>
      <c r="Z26" s="23"/>
      <c r="AA26" s="23"/>
      <c r="AB26" s="26"/>
      <c r="AD26" s="124"/>
      <c r="AE26"/>
      <c r="AF26" s="125"/>
    </row>
    <row r="27" spans="1:32" ht="11.25" customHeight="1">
      <c r="A27" s="198"/>
      <c r="B27" s="129"/>
      <c r="C27" s="211"/>
      <c r="D27" s="187"/>
      <c r="E27" s="188"/>
      <c r="F27" s="187"/>
      <c r="G27" s="193"/>
      <c r="H27" s="188"/>
      <c r="I27" s="188"/>
      <c r="J27" s="188"/>
      <c r="K27" s="188"/>
      <c r="L27" s="188"/>
      <c r="M27" s="188"/>
      <c r="N27" s="188"/>
      <c r="O27" s="193"/>
      <c r="P27" s="187"/>
      <c r="Q27" s="188"/>
      <c r="R27" s="188"/>
      <c r="S27" s="188"/>
      <c r="T27" s="188"/>
      <c r="U27" s="188"/>
      <c r="V27" s="188"/>
      <c r="W27" s="191"/>
      <c r="Y27" s="18"/>
      <c r="Z27" s="23"/>
      <c r="AA27" s="23"/>
      <c r="AB27" s="26"/>
      <c r="AD27" s="124"/>
      <c r="AE27"/>
      <c r="AF27" s="125"/>
    </row>
    <row r="28" spans="1:32" ht="11.25" customHeight="1">
      <c r="A28" s="198"/>
      <c r="B28" s="129"/>
      <c r="C28" s="211"/>
      <c r="D28" s="187"/>
      <c r="E28" s="188"/>
      <c r="F28" s="187"/>
      <c r="G28" s="193"/>
      <c r="H28" s="188"/>
      <c r="I28" s="188"/>
      <c r="J28" s="188"/>
      <c r="K28" s="188"/>
      <c r="L28" s="188"/>
      <c r="M28" s="188"/>
      <c r="N28" s="188"/>
      <c r="O28" s="193"/>
      <c r="P28" s="187"/>
      <c r="Q28" s="188"/>
      <c r="R28" s="188"/>
      <c r="S28" s="188"/>
      <c r="T28" s="188"/>
      <c r="U28" s="188"/>
      <c r="V28" s="188"/>
      <c r="W28" s="191"/>
      <c r="Y28" s="18"/>
      <c r="Z28" s="23"/>
      <c r="AA28" s="23"/>
      <c r="AB28" s="26"/>
      <c r="AD28" s="124"/>
      <c r="AE28"/>
      <c r="AF28" s="125"/>
    </row>
    <row r="29" spans="1:32" ht="11.25" customHeight="1">
      <c r="A29" s="198"/>
      <c r="B29" s="129"/>
      <c r="C29" s="211"/>
      <c r="D29" s="187"/>
      <c r="E29" s="188"/>
      <c r="F29" s="187"/>
      <c r="G29" s="193"/>
      <c r="H29" s="188"/>
      <c r="I29" s="188"/>
      <c r="J29" s="188"/>
      <c r="K29" s="188"/>
      <c r="L29" s="188"/>
      <c r="M29" s="188"/>
      <c r="N29" s="188"/>
      <c r="O29" s="193"/>
      <c r="P29" s="187"/>
      <c r="Q29" s="188"/>
      <c r="R29" s="188"/>
      <c r="S29" s="188"/>
      <c r="T29" s="188"/>
      <c r="U29" s="188"/>
      <c r="V29" s="188"/>
      <c r="W29" s="191"/>
      <c r="Y29" s="18"/>
      <c r="Z29" s="23"/>
      <c r="AA29" s="23"/>
      <c r="AB29" s="26"/>
      <c r="AD29" s="124"/>
      <c r="AE29"/>
      <c r="AF29" s="125"/>
    </row>
    <row r="30" spans="1:32" ht="11.25" customHeight="1">
      <c r="A30" s="198"/>
      <c r="B30" s="129"/>
      <c r="C30" s="211"/>
      <c r="D30" s="187"/>
      <c r="E30" s="188"/>
      <c r="F30" s="187"/>
      <c r="G30" s="193"/>
      <c r="H30" s="188"/>
      <c r="I30" s="188"/>
      <c r="J30" s="188"/>
      <c r="K30" s="188"/>
      <c r="L30" s="188"/>
      <c r="M30" s="188"/>
      <c r="N30" s="188"/>
      <c r="O30" s="193"/>
      <c r="P30" s="187"/>
      <c r="Q30" s="188"/>
      <c r="R30" s="188"/>
      <c r="S30" s="188"/>
      <c r="T30" s="188"/>
      <c r="U30" s="188"/>
      <c r="V30" s="188"/>
      <c r="W30" s="191"/>
      <c r="Y30" s="18"/>
      <c r="Z30" s="23"/>
      <c r="AA30" s="23"/>
      <c r="AB30" s="26"/>
      <c r="AD30" s="124"/>
      <c r="AE30"/>
      <c r="AF30" s="125"/>
    </row>
    <row r="31" spans="1:32" ht="11.25" customHeight="1">
      <c r="A31" s="184"/>
      <c r="B31" s="185"/>
      <c r="C31" s="211"/>
      <c r="D31" s="187"/>
      <c r="E31" s="188"/>
      <c r="F31" s="187"/>
      <c r="G31" s="193"/>
      <c r="H31" s="188"/>
      <c r="I31" s="188"/>
      <c r="J31" s="188"/>
      <c r="K31" s="188"/>
      <c r="L31" s="188"/>
      <c r="M31" s="188"/>
      <c r="N31" s="188"/>
      <c r="O31" s="188"/>
      <c r="P31" s="187"/>
      <c r="Q31" s="188"/>
      <c r="R31" s="188"/>
      <c r="S31" s="188"/>
      <c r="T31" s="188"/>
      <c r="U31" s="188"/>
      <c r="V31" s="193"/>
      <c r="W31" s="194"/>
      <c r="Y31" s="18"/>
      <c r="Z31" s="23"/>
      <c r="AA31" s="23"/>
      <c r="AB31" s="26"/>
      <c r="AD31" s="124"/>
      <c r="AE31"/>
      <c r="AF31" s="125"/>
    </row>
    <row r="32" spans="1:32" ht="11.25" customHeight="1">
      <c r="A32" s="184"/>
      <c r="B32" s="185"/>
      <c r="C32" s="211"/>
      <c r="D32" s="187"/>
      <c r="E32" s="188"/>
      <c r="F32" s="187"/>
      <c r="G32" s="193"/>
      <c r="H32" s="188"/>
      <c r="I32" s="188"/>
      <c r="J32" s="188"/>
      <c r="K32" s="188"/>
      <c r="L32" s="188"/>
      <c r="M32" s="188"/>
      <c r="N32" s="188"/>
      <c r="O32" s="188"/>
      <c r="P32" s="187"/>
      <c r="Q32" s="188"/>
      <c r="R32" s="188"/>
      <c r="S32" s="188"/>
      <c r="T32" s="188"/>
      <c r="U32" s="188"/>
      <c r="V32" s="193"/>
      <c r="W32" s="194"/>
      <c r="Y32" s="18"/>
      <c r="Z32" s="23"/>
      <c r="AA32" s="23"/>
      <c r="AB32" s="26"/>
      <c r="AD32" s="124"/>
      <c r="AE32"/>
      <c r="AF32" s="125"/>
    </row>
    <row r="33" spans="1:32" ht="11.25" customHeight="1">
      <c r="A33" s="184"/>
      <c r="B33" s="185"/>
      <c r="C33" s="211"/>
      <c r="D33" s="187"/>
      <c r="E33" s="188"/>
      <c r="F33" s="187"/>
      <c r="G33" s="193"/>
      <c r="H33" s="188"/>
      <c r="I33" s="188"/>
      <c r="J33" s="188"/>
      <c r="K33" s="188"/>
      <c r="L33" s="188"/>
      <c r="M33" s="188"/>
      <c r="N33" s="188"/>
      <c r="O33" s="188"/>
      <c r="P33" s="187"/>
      <c r="Q33" s="188"/>
      <c r="R33" s="188"/>
      <c r="S33" s="188"/>
      <c r="T33" s="188"/>
      <c r="U33" s="188"/>
      <c r="V33" s="193"/>
      <c r="W33" s="194"/>
      <c r="Y33" s="18"/>
      <c r="Z33" s="23"/>
      <c r="AA33" s="23"/>
      <c r="AB33" s="26"/>
      <c r="AD33" s="124"/>
      <c r="AE33"/>
      <c r="AF33" s="125"/>
    </row>
    <row r="34" spans="1:32" ht="11.25" customHeight="1">
      <c r="A34" s="184"/>
      <c r="B34" s="185"/>
      <c r="C34" s="211"/>
      <c r="D34" s="187"/>
      <c r="E34" s="188"/>
      <c r="F34" s="187"/>
      <c r="G34" s="193"/>
      <c r="H34" s="188"/>
      <c r="I34" s="188"/>
      <c r="J34" s="188"/>
      <c r="K34" s="188"/>
      <c r="L34" s="2"/>
      <c r="M34" s="188"/>
      <c r="N34" s="188"/>
      <c r="O34" s="188"/>
      <c r="P34" s="187"/>
      <c r="Q34" s="188"/>
      <c r="R34" s="188"/>
      <c r="S34" s="188"/>
      <c r="T34" s="188"/>
      <c r="U34" s="188"/>
      <c r="V34" s="193"/>
      <c r="W34" s="194"/>
      <c r="Y34" s="18"/>
      <c r="Z34" s="23"/>
      <c r="AA34" s="23"/>
      <c r="AB34" s="26"/>
      <c r="AD34" s="124"/>
      <c r="AE34"/>
      <c r="AF34" s="125"/>
    </row>
    <row r="35" spans="1:32" ht="12.75" customHeight="1">
      <c r="A35" s="184"/>
      <c r="B35" s="185"/>
      <c r="C35" s="211"/>
      <c r="D35" s="187"/>
      <c r="E35" s="188"/>
      <c r="F35" s="187"/>
      <c r="G35" s="193"/>
      <c r="H35" s="188"/>
      <c r="I35" s="188"/>
      <c r="J35" s="188"/>
      <c r="K35" s="188"/>
      <c r="L35" s="188"/>
      <c r="M35" s="188"/>
      <c r="N35" s="188"/>
      <c r="O35" s="188"/>
      <c r="P35" s="187"/>
      <c r="Q35" s="188"/>
      <c r="R35" s="188"/>
      <c r="S35" s="188"/>
      <c r="T35" s="188"/>
      <c r="U35" s="188"/>
      <c r="V35" s="193"/>
      <c r="W35" s="194"/>
      <c r="Y35" s="18"/>
      <c r="Z35" s="23"/>
      <c r="AA35" s="23"/>
      <c r="AB35" s="26"/>
      <c r="AD35" s="124"/>
      <c r="AE35"/>
      <c r="AF35" s="125"/>
    </row>
    <row r="36" spans="1:32" ht="11.25" customHeight="1">
      <c r="A36" s="184"/>
      <c r="B36" s="185"/>
      <c r="C36" s="211"/>
      <c r="D36" s="187"/>
      <c r="E36" s="188"/>
      <c r="F36" s="187"/>
      <c r="G36" s="193"/>
      <c r="H36" s="188"/>
      <c r="I36" s="188"/>
      <c r="J36" s="188"/>
      <c r="K36" s="188"/>
      <c r="L36" s="188"/>
      <c r="M36" s="188"/>
      <c r="N36" s="188"/>
      <c r="O36" s="188"/>
      <c r="P36" s="187"/>
      <c r="Q36" s="188"/>
      <c r="R36" s="188"/>
      <c r="S36" s="188"/>
      <c r="T36" s="188"/>
      <c r="U36" s="188"/>
      <c r="V36" s="193"/>
      <c r="W36" s="194"/>
      <c r="Y36" s="18"/>
      <c r="Z36" s="23"/>
      <c r="AA36" s="23"/>
      <c r="AB36" s="26"/>
      <c r="AD36" s="124"/>
      <c r="AE36"/>
      <c r="AF36" s="125"/>
    </row>
    <row r="37" spans="1:32" ht="11.25" customHeight="1">
      <c r="A37" s="184"/>
      <c r="B37" s="185"/>
      <c r="C37" s="211"/>
      <c r="D37" s="187"/>
      <c r="E37" s="188"/>
      <c r="F37" s="187"/>
      <c r="G37" s="193"/>
      <c r="H37" s="188"/>
      <c r="I37" s="188"/>
      <c r="J37" s="188"/>
      <c r="K37" s="188"/>
      <c r="L37" s="188"/>
      <c r="M37" s="188"/>
      <c r="N37" s="188"/>
      <c r="O37" s="188"/>
      <c r="P37" s="187"/>
      <c r="Q37" s="188"/>
      <c r="R37" s="188"/>
      <c r="S37" s="188"/>
      <c r="T37" s="188"/>
      <c r="U37" s="188"/>
      <c r="V37" s="193"/>
      <c r="W37" s="194"/>
      <c r="Y37" s="18"/>
      <c r="Z37" s="23"/>
      <c r="AA37" s="23"/>
      <c r="AB37" s="26"/>
      <c r="AD37" s="124"/>
      <c r="AE37"/>
      <c r="AF37" s="125"/>
    </row>
    <row r="38" spans="1:32" ht="11.25" customHeight="1">
      <c r="A38" s="184"/>
      <c r="B38" s="185"/>
      <c r="C38" s="211"/>
      <c r="D38" s="187"/>
      <c r="E38" s="188"/>
      <c r="F38" s="187"/>
      <c r="G38" s="193"/>
      <c r="H38" s="188"/>
      <c r="I38" s="188"/>
      <c r="J38" s="188"/>
      <c r="K38" s="188"/>
      <c r="L38" s="188"/>
      <c r="M38" s="188"/>
      <c r="N38" s="188"/>
      <c r="O38" s="188"/>
      <c r="P38" s="187"/>
      <c r="Q38" s="188"/>
      <c r="R38" s="188"/>
      <c r="S38" s="188"/>
      <c r="T38" s="188"/>
      <c r="U38" s="188"/>
      <c r="V38" s="193"/>
      <c r="W38" s="194"/>
      <c r="Y38" s="18"/>
      <c r="Z38" s="23"/>
      <c r="AA38" s="23"/>
      <c r="AB38" s="26"/>
      <c r="AD38" s="124"/>
      <c r="AE38"/>
      <c r="AF38" s="125"/>
    </row>
    <row r="39" spans="1:32" ht="11.25" customHeight="1">
      <c r="A39" s="184"/>
      <c r="B39" s="185"/>
      <c r="C39" s="211"/>
      <c r="D39" s="187"/>
      <c r="E39" s="188"/>
      <c r="F39" s="187"/>
      <c r="G39" s="193"/>
      <c r="H39" s="188"/>
      <c r="I39" s="188"/>
      <c r="J39" s="188"/>
      <c r="K39" s="188"/>
      <c r="L39" s="188"/>
      <c r="M39" s="188"/>
      <c r="N39" s="188"/>
      <c r="O39" s="188"/>
      <c r="P39" s="187"/>
      <c r="Q39" s="188"/>
      <c r="R39" s="188"/>
      <c r="S39" s="188"/>
      <c r="T39" s="188"/>
      <c r="U39" s="188"/>
      <c r="V39" s="193"/>
      <c r="W39" s="194"/>
      <c r="Y39" s="18"/>
      <c r="Z39" s="23"/>
      <c r="AA39" s="23"/>
      <c r="AB39" s="26"/>
      <c r="AD39" s="124"/>
      <c r="AE39"/>
      <c r="AF39" s="125"/>
    </row>
    <row r="40" spans="1:32" ht="11.25" customHeight="1">
      <c r="A40" s="192"/>
      <c r="B40" s="129"/>
      <c r="C40" s="211"/>
      <c r="D40" s="187"/>
      <c r="E40" s="188"/>
      <c r="F40" s="187"/>
      <c r="G40" s="193"/>
      <c r="H40" s="188"/>
      <c r="I40" s="188"/>
      <c r="J40" s="188"/>
      <c r="K40" s="188"/>
      <c r="L40" s="188"/>
      <c r="M40" s="188"/>
      <c r="N40" s="188"/>
      <c r="O40" s="188"/>
      <c r="P40" s="187"/>
      <c r="Q40" s="188"/>
      <c r="R40" s="188"/>
      <c r="S40" s="188"/>
      <c r="T40" s="188"/>
      <c r="U40" s="188"/>
      <c r="V40" s="193"/>
      <c r="W40" s="194"/>
      <c r="Y40" s="18"/>
      <c r="Z40" s="23"/>
      <c r="AA40" s="23"/>
      <c r="AB40" s="26"/>
      <c r="AD40" s="124"/>
      <c r="AE40"/>
      <c r="AF40" s="125"/>
    </row>
    <row r="41" spans="1:32" ht="11.25" customHeight="1">
      <c r="A41" s="192"/>
      <c r="B41" s="129"/>
      <c r="C41" s="211"/>
      <c r="D41" s="187"/>
      <c r="E41" s="188"/>
      <c r="F41" s="187"/>
      <c r="G41" s="193"/>
      <c r="H41" s="188"/>
      <c r="I41" s="188"/>
      <c r="J41" s="188"/>
      <c r="K41" s="188"/>
      <c r="L41" s="188"/>
      <c r="M41" s="188"/>
      <c r="N41" s="188"/>
      <c r="O41" s="188"/>
      <c r="P41" s="187"/>
      <c r="Q41" s="188"/>
      <c r="R41" s="188"/>
      <c r="S41" s="188"/>
      <c r="T41" s="188"/>
      <c r="U41" s="188"/>
      <c r="V41" s="193"/>
      <c r="W41" s="194"/>
      <c r="Y41" s="18"/>
      <c r="Z41" s="23"/>
      <c r="AA41" s="23"/>
      <c r="AB41" s="26"/>
      <c r="AD41" s="124"/>
      <c r="AE41"/>
      <c r="AF41" s="125"/>
    </row>
    <row r="42" spans="1:32">
      <c r="A42" s="29"/>
      <c r="B42" s="140"/>
      <c r="C42" s="213"/>
      <c r="D42" s="200"/>
      <c r="E42" s="201"/>
      <c r="F42" s="200"/>
      <c r="G42" s="202"/>
      <c r="H42" s="201"/>
      <c r="I42" s="201"/>
      <c r="J42" s="201"/>
      <c r="K42" s="201"/>
      <c r="L42" s="201"/>
      <c r="M42" s="201"/>
      <c r="N42" s="201"/>
      <c r="O42" s="202"/>
      <c r="P42" s="200"/>
      <c r="Q42" s="201"/>
      <c r="R42" s="201"/>
      <c r="S42" s="201"/>
      <c r="T42" s="201"/>
      <c r="U42" s="201"/>
      <c r="V42" s="202"/>
      <c r="W42" s="205"/>
      <c r="Y42" s="18"/>
      <c r="Z42" s="23"/>
      <c r="AA42" s="23"/>
      <c r="AB42" s="26"/>
      <c r="AD42" s="124"/>
      <c r="AE42"/>
      <c r="AF42" s="125"/>
    </row>
    <row r="43" spans="1:32">
      <c r="A43" s="29"/>
      <c r="B43" s="99"/>
      <c r="C43" s="212"/>
      <c r="D43" s="147"/>
      <c r="E43" s="148"/>
      <c r="F43" s="147"/>
      <c r="G43" s="149"/>
      <c r="H43" s="148"/>
      <c r="I43" s="148"/>
      <c r="J43" s="148"/>
      <c r="K43" s="148"/>
      <c r="L43" s="148"/>
      <c r="M43" s="148"/>
      <c r="N43" s="148"/>
      <c r="O43" s="148"/>
      <c r="P43" s="147"/>
      <c r="Q43" s="148"/>
      <c r="R43" s="148"/>
      <c r="S43" s="148"/>
      <c r="T43" s="148"/>
      <c r="U43" s="148"/>
      <c r="V43" s="149"/>
      <c r="W43" s="150"/>
      <c r="Y43" s="30"/>
      <c r="Z43" s="48"/>
      <c r="AA43" s="48"/>
      <c r="AB43" s="49"/>
      <c r="AD43" s="126"/>
      <c r="AE43" s="127"/>
      <c r="AF43" s="128"/>
    </row>
    <row r="44" spans="1:32">
      <c r="A44" s="31" t="s">
        <v>134</v>
      </c>
      <c r="B44" s="31"/>
      <c r="C44" s="146"/>
      <c r="D44" s="173">
        <f>SUM(D3:D43)</f>
        <v>0</v>
      </c>
      <c r="E44" s="173">
        <f t="shared" ref="E44:W44" si="2">SUM(E3:E43)</f>
        <v>0</v>
      </c>
      <c r="F44" s="174">
        <f t="shared" si="2"/>
        <v>0</v>
      </c>
      <c r="G44" s="174">
        <f t="shared" si="2"/>
        <v>0</v>
      </c>
      <c r="H44" s="173">
        <f t="shared" si="2"/>
        <v>0</v>
      </c>
      <c r="I44" s="173">
        <f t="shared" si="2"/>
        <v>0</v>
      </c>
      <c r="J44" s="173">
        <f t="shared" si="2"/>
        <v>0</v>
      </c>
      <c r="K44" s="173">
        <f t="shared" si="2"/>
        <v>0</v>
      </c>
      <c r="L44" s="173">
        <f t="shared" si="2"/>
        <v>0</v>
      </c>
      <c r="M44" s="173">
        <f t="shared" si="2"/>
        <v>0</v>
      </c>
      <c r="N44" s="173">
        <f t="shared" si="2"/>
        <v>0</v>
      </c>
      <c r="O44" s="173">
        <f t="shared" si="2"/>
        <v>0</v>
      </c>
      <c r="P44" s="173">
        <f t="shared" si="2"/>
        <v>0</v>
      </c>
      <c r="Q44" s="173">
        <f t="shared" si="2"/>
        <v>0</v>
      </c>
      <c r="R44" s="173">
        <f t="shared" si="2"/>
        <v>0</v>
      </c>
      <c r="S44" s="173"/>
      <c r="T44" s="173">
        <f t="shared" si="2"/>
        <v>0</v>
      </c>
      <c r="U44" s="173">
        <f t="shared" si="2"/>
        <v>0</v>
      </c>
      <c r="V44" s="173">
        <f t="shared" si="2"/>
        <v>0</v>
      </c>
      <c r="W44" s="196">
        <f t="shared" si="2"/>
        <v>0</v>
      </c>
      <c r="Y44" s="100" t="s">
        <v>29</v>
      </c>
      <c r="Z44" s="32">
        <f>SUM(Z4:Z42)</f>
        <v>11081.2</v>
      </c>
      <c r="AA44" s="32">
        <f>SUM(AA4:AA42)</f>
        <v>0</v>
      </c>
      <c r="AB44" s="101">
        <f>SUM(AB4:AB42)</f>
        <v>11081.2</v>
      </c>
      <c r="AC44" s="11"/>
      <c r="AD44" s="100"/>
      <c r="AE44" s="57"/>
      <c r="AF44" s="102"/>
    </row>
    <row r="45" spans="1:32">
      <c r="A45" s="31"/>
      <c r="B45" s="31"/>
      <c r="C45" s="96"/>
      <c r="D45" s="96"/>
      <c r="E45" s="96"/>
      <c r="F45" s="96"/>
      <c r="G45" s="96"/>
      <c r="H45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Y45" s="31"/>
      <c r="Z45" s="95"/>
      <c r="AA45" s="95"/>
      <c r="AB45" s="95"/>
      <c r="AD45" s="31"/>
      <c r="AE45" s="24"/>
    </row>
    <row r="46" spans="1:32">
      <c r="A46" s="31"/>
      <c r="B46" s="31"/>
      <c r="C46"/>
      <c r="D46"/>
      <c r="E46" s="96"/>
      <c r="F46"/>
      <c r="G46"/>
      <c r="H46"/>
      <c r="I46"/>
      <c r="J46"/>
      <c r="K46"/>
      <c r="L46"/>
      <c r="M46"/>
      <c r="Q46" s="111"/>
      <c r="R46" s="96"/>
      <c r="S46" s="96"/>
      <c r="T46" s="96"/>
      <c r="U46" s="96"/>
      <c r="V46" s="96"/>
      <c r="W46" s="96"/>
      <c r="Y46" s="31"/>
      <c r="Z46" s="95"/>
      <c r="AA46" s="95"/>
      <c r="AB46" s="95"/>
      <c r="AD46" s="31"/>
      <c r="AE46" s="24"/>
    </row>
    <row r="47" spans="1:32">
      <c r="A47"/>
      <c r="B47"/>
      <c r="C47"/>
      <c r="D47"/>
      <c r="E47" s="96"/>
      <c r="F47"/>
      <c r="G47"/>
      <c r="H47"/>
      <c r="I47"/>
      <c r="J47"/>
      <c r="K47"/>
      <c r="L47"/>
      <c r="M47" s="134"/>
      <c r="N47"/>
      <c r="O47"/>
      <c r="P47"/>
      <c r="Q47"/>
    </row>
    <row r="48" spans="1:32">
      <c r="A48"/>
      <c r="B48"/>
      <c r="C48"/>
      <c r="D48"/>
      <c r="E48" s="96"/>
      <c r="F48"/>
      <c r="G48"/>
      <c r="H48"/>
      <c r="I48"/>
      <c r="J48"/>
      <c r="K48"/>
      <c r="L48"/>
      <c r="M48"/>
      <c r="N48"/>
      <c r="O48"/>
      <c r="P48"/>
      <c r="Q48"/>
    </row>
    <row r="49" spans="1:25">
      <c r="A49"/>
      <c r="B49"/>
      <c r="C49"/>
      <c r="D49"/>
      <c r="E49" s="96"/>
      <c r="F49"/>
      <c r="G49"/>
      <c r="H49"/>
      <c r="I49"/>
      <c r="J49"/>
      <c r="K49"/>
      <c r="L49"/>
      <c r="M49"/>
      <c r="N49"/>
      <c r="O49"/>
      <c r="P49"/>
      <c r="Q49"/>
      <c r="W49" s="638">
        <f>SUM(D44:W44)</f>
        <v>0</v>
      </c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V51" s="35"/>
      <c r="W51" s="36"/>
      <c r="X51" s="37"/>
      <c r="Y51" s="38" t="s">
        <v>135</v>
      </c>
    </row>
    <row r="52" spans="1: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V52" s="39" t="s">
        <v>136</v>
      </c>
      <c r="W52" s="40">
        <f>SUM(H44:O44)</f>
        <v>0</v>
      </c>
      <c r="X52" s="37"/>
      <c r="Y52" s="41" t="e">
        <f>W52/W55</f>
        <v>#DIV/0!</v>
      </c>
    </row>
    <row r="53" spans="1: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V53" s="39" t="s">
        <v>137</v>
      </c>
      <c r="W53" s="40">
        <f>SUM(P44:W44)</f>
        <v>0</v>
      </c>
      <c r="X53" s="37"/>
      <c r="Y53" s="41" t="e">
        <f>W53/W55</f>
        <v>#DIV/0!</v>
      </c>
    </row>
    <row r="54" spans="1: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V54" s="39" t="s">
        <v>138</v>
      </c>
      <c r="W54" s="42">
        <f>E44+D44</f>
        <v>0</v>
      </c>
      <c r="X54" s="37"/>
      <c r="Y54" s="41" t="e">
        <f>W54/W55</f>
        <v>#DIV/0!</v>
      </c>
    </row>
    <row r="55" spans="1: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V55" s="39" t="s">
        <v>56</v>
      </c>
      <c r="W55" s="639">
        <f>SUM(W52:W54)</f>
        <v>0</v>
      </c>
      <c r="X55" s="37"/>
      <c r="Y55" s="43"/>
    </row>
    <row r="56" spans="1: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V56" s="35"/>
      <c r="W56" s="36"/>
      <c r="X56" s="37"/>
      <c r="Y56" s="37"/>
    </row>
    <row r="57" spans="1: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V57" s="35"/>
      <c r="W57" s="44">
        <f>W55-W49</f>
        <v>0</v>
      </c>
      <c r="X57" s="37"/>
      <c r="Y57" s="37"/>
    </row>
    <row r="58" spans="1: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25">
      <c r="A62"/>
      <c r="B62"/>
      <c r="G62"/>
      <c r="H62"/>
      <c r="I62"/>
      <c r="J62"/>
      <c r="K62"/>
      <c r="L62"/>
      <c r="M62"/>
      <c r="N62"/>
      <c r="O62"/>
      <c r="P62"/>
      <c r="Q62"/>
    </row>
    <row r="63" spans="1:25">
      <c r="A63"/>
      <c r="B63"/>
      <c r="G63"/>
      <c r="H63"/>
      <c r="I63"/>
      <c r="J63"/>
      <c r="K63"/>
      <c r="L63"/>
      <c r="M63"/>
      <c r="N63"/>
      <c r="O63"/>
      <c r="P63"/>
      <c r="Q63"/>
    </row>
    <row r="64" spans="1:25">
      <c r="A64"/>
      <c r="B64"/>
      <c r="G64"/>
      <c r="H64"/>
      <c r="I64"/>
      <c r="J64"/>
      <c r="K64"/>
      <c r="L64"/>
      <c r="M64"/>
      <c r="N64"/>
      <c r="O64"/>
      <c r="P64"/>
      <c r="Q64"/>
    </row>
    <row r="65" spans="1:17">
      <c r="A65"/>
      <c r="B65"/>
      <c r="C65"/>
      <c r="G65"/>
      <c r="H65"/>
      <c r="I65"/>
      <c r="J65"/>
      <c r="K65"/>
      <c r="L65"/>
      <c r="M65"/>
      <c r="N65"/>
      <c r="O65"/>
      <c r="P65"/>
      <c r="Q65"/>
    </row>
    <row r="66" spans="1:17">
      <c r="A66"/>
      <c r="B66"/>
      <c r="G66"/>
      <c r="H66"/>
      <c r="I66"/>
      <c r="J66"/>
      <c r="K66"/>
      <c r="L66"/>
      <c r="M66"/>
      <c r="N66"/>
      <c r="O66"/>
      <c r="P66"/>
      <c r="Q66"/>
    </row>
    <row r="67" spans="1:17">
      <c r="A67"/>
      <c r="B67"/>
      <c r="G67"/>
      <c r="H67"/>
      <c r="I67"/>
      <c r="J67"/>
      <c r="K67"/>
      <c r="L67"/>
      <c r="M67"/>
      <c r="N67"/>
      <c r="O67"/>
      <c r="P67"/>
      <c r="Q67"/>
    </row>
    <row r="68" spans="1:17">
      <c r="A68"/>
      <c r="B68"/>
      <c r="G68"/>
      <c r="H68"/>
      <c r="I68"/>
      <c r="J68"/>
      <c r="K68"/>
      <c r="L68"/>
      <c r="M68"/>
      <c r="N68"/>
      <c r="O68"/>
      <c r="P68"/>
      <c r="Q68"/>
    </row>
    <row r="69" spans="1:17">
      <c r="A69"/>
      <c r="B69"/>
      <c r="G69"/>
      <c r="H69"/>
      <c r="I69"/>
      <c r="J69"/>
      <c r="K69"/>
      <c r="L69"/>
      <c r="M69"/>
      <c r="N69"/>
      <c r="O69"/>
      <c r="P69"/>
      <c r="Q69"/>
    </row>
    <row r="70" spans="1:17">
      <c r="A70"/>
      <c r="B70"/>
      <c r="G70"/>
      <c r="H70"/>
      <c r="I70"/>
      <c r="J70"/>
      <c r="K70"/>
      <c r="L70"/>
      <c r="M70"/>
      <c r="N70"/>
      <c r="O70"/>
      <c r="P70"/>
      <c r="Q70"/>
    </row>
    <row r="71" spans="1:17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>
      <c r="B72"/>
      <c r="C72"/>
      <c r="D72"/>
      <c r="E72"/>
      <c r="F72"/>
      <c r="G72"/>
      <c r="H72"/>
      <c r="I72"/>
      <c r="J72"/>
      <c r="K72"/>
      <c r="L72"/>
      <c r="M72"/>
    </row>
    <row r="73" spans="1:17">
      <c r="B73"/>
      <c r="C73"/>
      <c r="D73"/>
      <c r="E73"/>
      <c r="F73"/>
      <c r="G73"/>
      <c r="H73"/>
      <c r="I73"/>
      <c r="J73"/>
      <c r="K73"/>
      <c r="L73"/>
      <c r="M73"/>
    </row>
    <row r="74" spans="1:17">
      <c r="B74"/>
      <c r="C74"/>
      <c r="D74"/>
      <c r="E74"/>
      <c r="F74"/>
      <c r="G74"/>
      <c r="H74"/>
      <c r="I74"/>
      <c r="J74"/>
      <c r="K74"/>
      <c r="L74"/>
      <c r="M74"/>
    </row>
    <row r="75" spans="1:17">
      <c r="B75"/>
      <c r="C75"/>
      <c r="D75"/>
      <c r="E75"/>
      <c r="F75"/>
      <c r="G75"/>
      <c r="H75"/>
      <c r="I75"/>
      <c r="J75"/>
      <c r="K75"/>
      <c r="L75"/>
      <c r="M75"/>
    </row>
    <row r="76" spans="1:17">
      <c r="B76"/>
      <c r="C76"/>
      <c r="D76"/>
      <c r="E76"/>
      <c r="F76"/>
      <c r="G76"/>
      <c r="H76"/>
      <c r="I76"/>
      <c r="J76"/>
      <c r="K76"/>
      <c r="L76"/>
      <c r="M76"/>
    </row>
    <row r="77" spans="1:17">
      <c r="B77"/>
      <c r="C77"/>
      <c r="D77"/>
      <c r="E77"/>
      <c r="F77"/>
      <c r="G77"/>
      <c r="H77"/>
      <c r="I77"/>
      <c r="J77"/>
      <c r="K77"/>
      <c r="L77"/>
      <c r="M77"/>
    </row>
    <row r="78" spans="1:17">
      <c r="B78"/>
      <c r="C78"/>
      <c r="D78"/>
      <c r="E78"/>
      <c r="F78"/>
      <c r="G78"/>
    </row>
    <row r="79" spans="1:17">
      <c r="B79"/>
      <c r="C79"/>
      <c r="D79"/>
      <c r="E79"/>
      <c r="F79"/>
      <c r="G79"/>
    </row>
    <row r="80" spans="1:17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</sheetData>
  <mergeCells count="6">
    <mergeCell ref="D1:E1"/>
    <mergeCell ref="Y2:AB2"/>
    <mergeCell ref="AD2:AF2"/>
    <mergeCell ref="H1:O1"/>
    <mergeCell ref="P1:V1"/>
    <mergeCell ref="F1:G1"/>
  </mergeCells>
  <phoneticPr fontId="2" type="noConversion"/>
  <pageMargins left="0.7" right="0.7" top="0.75" bottom="0.75" header="0.3" footer="0.3"/>
  <pageSetup paperSize="14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24"/>
  <sheetViews>
    <sheetView topLeftCell="I1" zoomScale="55" zoomScaleNormal="55" zoomScalePageLayoutView="85" workbookViewId="0">
      <selection activeCell="AE6" sqref="AE6:AE9"/>
    </sheetView>
  </sheetViews>
  <sheetFormatPr defaultColWidth="8.85546875" defaultRowHeight="12.75"/>
  <cols>
    <col min="1" max="1" width="9.7109375" style="2" bestFit="1" customWidth="1"/>
    <col min="2" max="2" width="15.5703125" style="2" bestFit="1" customWidth="1"/>
    <col min="3" max="3" width="14.5703125" style="2" customWidth="1"/>
    <col min="4" max="4" width="9.42578125" style="2" customWidth="1"/>
    <col min="5" max="5" width="10.7109375" style="2" bestFit="1" customWidth="1"/>
    <col min="6" max="7" width="9" style="2" bestFit="1" customWidth="1"/>
    <col min="8" max="8" width="11.140625" style="105" bestFit="1" customWidth="1"/>
    <col min="9" max="9" width="12" style="105" bestFit="1" customWidth="1"/>
    <col min="10" max="10" width="12.28515625" style="105" bestFit="1" customWidth="1"/>
    <col min="11" max="13" width="11.140625" style="105" bestFit="1" customWidth="1"/>
    <col min="14" max="14" width="10" style="105" bestFit="1" customWidth="1"/>
    <col min="15" max="15" width="11.42578125" style="105" bestFit="1" customWidth="1"/>
    <col min="16" max="16" width="11.140625" style="105" bestFit="1" customWidth="1"/>
    <col min="17" max="17" width="10.42578125" style="105" customWidth="1"/>
    <col min="18" max="18" width="11.140625" style="105" bestFit="1" customWidth="1"/>
    <col min="19" max="19" width="11.140625" style="105" customWidth="1"/>
    <col min="20" max="21" width="11.140625" style="105" bestFit="1" customWidth="1"/>
    <col min="22" max="22" width="12.28515625" style="105" customWidth="1"/>
    <col min="23" max="23" width="12.42578125" style="33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116" t="s">
        <v>91</v>
      </c>
      <c r="B2" s="31" t="s">
        <v>114</v>
      </c>
      <c r="C2" s="63" t="s">
        <v>115</v>
      </c>
      <c r="D2" s="137" t="s">
        <v>116</v>
      </c>
      <c r="E2" s="138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283"/>
      <c r="B3" s="287"/>
      <c r="C3" s="178"/>
      <c r="D3" s="179"/>
      <c r="E3" s="181"/>
      <c r="F3" s="182"/>
      <c r="G3" s="181"/>
      <c r="H3" s="180"/>
      <c r="I3" s="180"/>
      <c r="J3" s="180"/>
      <c r="K3" s="180"/>
      <c r="L3" s="180"/>
      <c r="M3" s="180"/>
      <c r="N3" s="180"/>
      <c r="O3" s="180"/>
      <c r="P3" s="179"/>
      <c r="Q3" s="180"/>
      <c r="R3" s="180"/>
      <c r="S3" s="180"/>
      <c r="T3" s="180"/>
      <c r="U3" s="180"/>
      <c r="V3" s="181"/>
      <c r="W3" s="183"/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284"/>
      <c r="B4" s="288"/>
      <c r="C4" s="302"/>
      <c r="D4" s="105"/>
      <c r="E4" s="105"/>
      <c r="F4" s="225"/>
      <c r="G4" s="17"/>
      <c r="H4" s="188"/>
      <c r="I4" s="188"/>
      <c r="J4" s="188"/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194"/>
      <c r="Y4" s="18" t="s">
        <v>8</v>
      </c>
      <c r="Z4" s="23">
        <f>Summary!AF21</f>
        <v>350</v>
      </c>
      <c r="AA4" s="23">
        <f>SUMIF($C$2:$C$35,Y4,$F$2:$F$35)+SUMIF($C$2:$C$35,Y4,$G$2:$G$35)</f>
        <v>0</v>
      </c>
      <c r="AB4" s="26">
        <f t="shared" ref="AB4:AB21" si="0">Z4+AA4</f>
        <v>350</v>
      </c>
      <c r="AD4" s="18"/>
      <c r="AE4" s="19"/>
      <c r="AF4" s="103"/>
    </row>
    <row r="5" spans="1:33">
      <c r="A5" s="284"/>
      <c r="B5" s="289"/>
      <c r="C5" s="299"/>
      <c r="D5" s="195"/>
      <c r="E5" s="195"/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194"/>
      <c r="Y5" s="18" t="s">
        <v>9</v>
      </c>
      <c r="Z5" s="23">
        <f>Summary!AF22</f>
        <v>335</v>
      </c>
      <c r="AA5" s="23">
        <f>SUMIF($C$2:$C$35,Y5,$F$2:$F$35)+SUMIF($C$2:$C$35,Y5,$G$2:$G$35)</f>
        <v>0</v>
      </c>
      <c r="AB5" s="26">
        <f t="shared" si="0"/>
        <v>335</v>
      </c>
      <c r="AD5" s="21" t="s">
        <v>128</v>
      </c>
      <c r="AE5" s="19"/>
      <c r="AF5" s="20"/>
    </row>
    <row r="6" spans="1:33">
      <c r="A6" s="284"/>
      <c r="B6" s="289"/>
      <c r="C6" s="299"/>
      <c r="D6" s="188"/>
      <c r="E6" s="195"/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4"/>
      <c r="W6" s="194"/>
      <c r="Y6" s="18" t="s">
        <v>10</v>
      </c>
      <c r="Z6" s="23">
        <f>Summary!AF23</f>
        <v>20</v>
      </c>
      <c r="AA6" s="23">
        <f>SUMIF($C$2:$C$35,Y6,$F$2:$F$35)+SUMIF($C$2:$C$35,Y6,$G$2:$G$35)</f>
        <v>0</v>
      </c>
      <c r="AB6" s="26">
        <f t="shared" si="0"/>
        <v>20</v>
      </c>
      <c r="AD6" s="18" t="s">
        <v>49</v>
      </c>
      <c r="AE6" s="22"/>
      <c r="AF6" s="20"/>
    </row>
    <row r="7" spans="1:33">
      <c r="A7" s="284"/>
      <c r="B7" s="289"/>
      <c r="C7" s="186"/>
      <c r="D7" s="187"/>
      <c r="E7" s="188"/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194"/>
      <c r="Y7" s="47" t="s">
        <v>11</v>
      </c>
      <c r="Z7" s="23">
        <f>Summary!AF24</f>
        <v>20</v>
      </c>
      <c r="AA7" s="23">
        <f>SUMIF($C$2:$C$35,Y7,$F$2:$F$35)+SUMIF($C$2:$C$35,Y7,$G$2:$G$35)</f>
        <v>0</v>
      </c>
      <c r="AB7" s="26">
        <f t="shared" si="0"/>
        <v>20</v>
      </c>
      <c r="AD7" s="18" t="s">
        <v>111</v>
      </c>
      <c r="AE7" s="23"/>
      <c r="AF7" s="20"/>
    </row>
    <row r="8" spans="1:33">
      <c r="A8" s="284"/>
      <c r="B8" s="289"/>
      <c r="C8" s="186"/>
      <c r="D8" s="187"/>
      <c r="E8" s="188"/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93"/>
      <c r="W8" s="194"/>
      <c r="Y8" s="18" t="s">
        <v>12</v>
      </c>
      <c r="Z8" s="23">
        <f>Summary!AF25</f>
        <v>700</v>
      </c>
      <c r="AA8" s="23">
        <f>SUMIF($C$2:$C$35,Y8,$F$2:$F$35)+SUMIF($C$2:$C$35,Y8,$G$2:$G$35)</f>
        <v>0</v>
      </c>
      <c r="AB8" s="26">
        <f t="shared" si="0"/>
        <v>700</v>
      </c>
      <c r="AD8" s="18" t="s">
        <v>131</v>
      </c>
      <c r="AE8" s="303"/>
      <c r="AF8" s="20"/>
    </row>
    <row r="9" spans="1:33">
      <c r="A9" s="284"/>
      <c r="B9" s="289"/>
      <c r="C9" s="186"/>
      <c r="D9" s="187"/>
      <c r="E9" s="188"/>
      <c r="F9" s="187"/>
      <c r="G9" s="193"/>
      <c r="H9" s="188"/>
      <c r="I9" s="188"/>
      <c r="J9" s="188"/>
      <c r="K9" s="188"/>
      <c r="L9" s="188"/>
      <c r="M9" s="188"/>
      <c r="N9" s="188"/>
      <c r="O9" s="188"/>
      <c r="P9" s="187"/>
      <c r="Q9" s="188"/>
      <c r="R9" s="188"/>
      <c r="S9" s="188"/>
      <c r="T9" s="188"/>
      <c r="U9" s="188"/>
      <c r="V9" s="194"/>
      <c r="W9" s="194"/>
      <c r="Y9" s="18" t="s">
        <v>13</v>
      </c>
      <c r="Z9" s="23">
        <f>Summary!AF26</f>
        <v>1300</v>
      </c>
      <c r="AA9" s="23">
        <f>SUMIF($C$2:$C$35,Y9,$F$2:$F$35)+SUMIF($C$2:$C$35,Y9,$G$2:$G$35)</f>
        <v>0</v>
      </c>
      <c r="AB9" s="26">
        <f t="shared" si="0"/>
        <v>1300</v>
      </c>
      <c r="AD9" s="18" t="s">
        <v>124</v>
      </c>
      <c r="AE9" s="22"/>
      <c r="AF9" s="20"/>
    </row>
    <row r="10" spans="1:33">
      <c r="A10" s="284"/>
      <c r="B10" s="289"/>
      <c r="C10" s="186"/>
      <c r="D10" s="187"/>
      <c r="E10" s="188"/>
      <c r="F10" s="187"/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194"/>
      <c r="Y10" s="18" t="s">
        <v>14</v>
      </c>
      <c r="Z10" s="23">
        <f>Summary!AF27</f>
        <v>150</v>
      </c>
      <c r="AA10" s="23">
        <f>SUMIF($C$2:$C$35,Y10,$F$2:$F$35)+SUMIF($C$2:$C$35,Y10,$G$2:$G$35)</f>
        <v>0</v>
      </c>
      <c r="AB10" s="26">
        <f t="shared" si="0"/>
        <v>150</v>
      </c>
      <c r="AD10" s="21" t="s">
        <v>29</v>
      </c>
      <c r="AE10" s="640">
        <f>SUM(AE4:AE9)</f>
        <v>0</v>
      </c>
      <c r="AF10" s="20"/>
    </row>
    <row r="11" spans="1:33">
      <c r="A11" s="284"/>
      <c r="B11" s="289"/>
      <c r="C11" s="186"/>
      <c r="D11" s="187"/>
      <c r="E11" s="188"/>
      <c r="F11" s="187"/>
      <c r="G11" s="193"/>
      <c r="H11" s="188"/>
      <c r="I11" s="188"/>
      <c r="J11" s="195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194"/>
      <c r="Y11" s="18" t="s">
        <v>15</v>
      </c>
      <c r="Z11" s="23">
        <f>Summary!AF28</f>
        <v>200</v>
      </c>
      <c r="AA11" s="23">
        <f>SUMIF($C$2:$C$35,Y11,$F$2:$F$35)+SUMIF($C$2:$C$35,Y11,$G$2:$G$35)</f>
        <v>0</v>
      </c>
      <c r="AB11" s="26">
        <f>Z11+AA11</f>
        <v>200</v>
      </c>
      <c r="AD11" s="18"/>
      <c r="AE11" s="24"/>
      <c r="AF11" s="20"/>
    </row>
    <row r="12" spans="1:33">
      <c r="A12" s="284"/>
      <c r="B12" s="289"/>
      <c r="C12" s="186"/>
      <c r="D12" s="187"/>
      <c r="E12" s="188"/>
      <c r="F12" s="187"/>
      <c r="G12" s="193"/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194"/>
      <c r="Y12" s="18" t="s">
        <v>16</v>
      </c>
      <c r="Z12" s="23">
        <f>Summary!AF29</f>
        <v>50</v>
      </c>
      <c r="AA12" s="23">
        <f>SUMIF($C$2:$C$35,Y12,$F$2:$F$35)+SUMIF($C$2:$C$35,Y12,$G$2:$G$35)</f>
        <v>0</v>
      </c>
      <c r="AB12" s="26">
        <f>Z12+AA12</f>
        <v>50</v>
      </c>
      <c r="AD12" s="18"/>
      <c r="AE12" s="24"/>
      <c r="AF12" s="20"/>
    </row>
    <row r="13" spans="1:33">
      <c r="A13" s="284"/>
      <c r="B13" s="289"/>
      <c r="C13" s="186"/>
      <c r="D13" s="187"/>
      <c r="E13" s="188"/>
      <c r="F13" s="187"/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194"/>
      <c r="Y13" s="18" t="s">
        <v>17</v>
      </c>
      <c r="Z13" s="23">
        <f>Summary!AF30</f>
        <v>1000</v>
      </c>
      <c r="AA13" s="23">
        <f>SUMIF($C$2:$C$35,Y13,$F$2:$F$35)+SUMIF($C$2:$C$35,Y13,$G$2:$G$35)</f>
        <v>0</v>
      </c>
      <c r="AB13" s="26">
        <f t="shared" si="0"/>
        <v>1000</v>
      </c>
      <c r="AD13" s="21" t="s">
        <v>132</v>
      </c>
      <c r="AE13" s="50"/>
      <c r="AF13" s="20"/>
    </row>
    <row r="14" spans="1:33">
      <c r="A14" s="284"/>
      <c r="B14" s="289"/>
      <c r="C14" s="186"/>
      <c r="D14" s="187"/>
      <c r="E14" s="188"/>
      <c r="F14" s="187"/>
      <c r="G14" s="193"/>
      <c r="H14" s="188"/>
      <c r="I14" s="188"/>
      <c r="J14" s="188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194"/>
      <c r="Y14" s="18" t="s">
        <v>18</v>
      </c>
      <c r="Z14" s="23">
        <f>Summary!AF31</f>
        <v>200</v>
      </c>
      <c r="AA14" s="23">
        <f>SUMIF($C$2:$C$35,Y14,$F$2:$F$35)+SUMIF($C$2:$C$35,Y14,$G$2:$G$35)</f>
        <v>0</v>
      </c>
      <c r="AB14" s="26">
        <f t="shared" si="0"/>
        <v>200</v>
      </c>
      <c r="AD14" s="18" t="s">
        <v>49</v>
      </c>
      <c r="AE14" s="25">
        <f>P35</f>
        <v>0</v>
      </c>
      <c r="AF14" s="20"/>
    </row>
    <row r="15" spans="1:33">
      <c r="A15" s="284"/>
      <c r="B15" s="289"/>
      <c r="C15" s="186"/>
      <c r="D15" s="187"/>
      <c r="E15" s="188"/>
      <c r="F15" s="187"/>
      <c r="G15" s="193"/>
      <c r="H15" s="188"/>
      <c r="I15" s="188"/>
      <c r="J15" s="188"/>
      <c r="K15" s="188"/>
      <c r="L15" s="188"/>
      <c r="M15" s="188"/>
      <c r="N15" s="188"/>
      <c r="O15" s="193"/>
      <c r="P15" s="187"/>
      <c r="Q15" s="188"/>
      <c r="R15" s="188"/>
      <c r="S15" s="188"/>
      <c r="T15" s="188"/>
      <c r="U15" s="188"/>
      <c r="V15" s="193"/>
      <c r="W15" s="194"/>
      <c r="Y15" s="18" t="s">
        <v>19</v>
      </c>
      <c r="Z15" s="23">
        <f>Summary!AF32</f>
        <v>0</v>
      </c>
      <c r="AA15" s="23">
        <f>SUMIF($C$2:$C$35,Y15,$F$2:$F$35)+SUMIF($C$2:$C$35,Y15,$G$2:$G$35)</f>
        <v>0</v>
      </c>
      <c r="AB15" s="26">
        <f t="shared" si="0"/>
        <v>0</v>
      </c>
      <c r="AD15" s="18" t="s">
        <v>50</v>
      </c>
      <c r="AE15" s="23">
        <f>Q34</f>
        <v>0</v>
      </c>
      <c r="AF15" s="20"/>
    </row>
    <row r="16" spans="1:33">
      <c r="A16" s="284"/>
      <c r="B16" s="289"/>
      <c r="C16" s="186"/>
      <c r="D16" s="187"/>
      <c r="E16" s="188"/>
      <c r="F16" s="187"/>
      <c r="G16" s="193"/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194"/>
      <c r="Y16" s="18" t="s">
        <v>20</v>
      </c>
      <c r="Z16" s="23">
        <f>Summary!AF33</f>
        <v>500</v>
      </c>
      <c r="AA16" s="23">
        <f>SUMIF($C$2:$C$35,Y16,$F$2:$F$35)+SUMIF($C$2:$C$35,Y16,$G$2:$G$35)</f>
        <v>0</v>
      </c>
      <c r="AB16" s="26">
        <f t="shared" si="0"/>
        <v>500</v>
      </c>
      <c r="AD16" s="18" t="s">
        <v>131</v>
      </c>
      <c r="AE16" s="23">
        <f>R33</f>
        <v>0</v>
      </c>
      <c r="AF16" s="20"/>
    </row>
    <row r="17" spans="1:32">
      <c r="A17" s="284"/>
      <c r="B17" s="289"/>
      <c r="C17" s="186"/>
      <c r="D17" s="187"/>
      <c r="E17" s="188"/>
      <c r="F17" s="187"/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194"/>
      <c r="Y17" s="18" t="s">
        <v>21</v>
      </c>
      <c r="Z17" s="23">
        <f>Summary!AF34</f>
        <v>800</v>
      </c>
      <c r="AA17" s="23">
        <f>SUMIF($C$2:$C$35,Y17,$F$2:$F$35)+SUMIF($C$2:$C$35,Y17,$G$2:$G$35)</f>
        <v>0</v>
      </c>
      <c r="AB17" s="26">
        <f t="shared" si="0"/>
        <v>800</v>
      </c>
      <c r="AD17" s="18" t="s">
        <v>124</v>
      </c>
      <c r="AE17" s="23">
        <f>V33+T33</f>
        <v>0</v>
      </c>
      <c r="AF17" s="20"/>
    </row>
    <row r="18" spans="1:32">
      <c r="A18" s="284"/>
      <c r="B18" s="288"/>
      <c r="C18" s="186"/>
      <c r="D18" s="187"/>
      <c r="E18" s="188"/>
      <c r="F18" s="187"/>
      <c r="G18" s="193"/>
      <c r="H18" s="188"/>
      <c r="I18" s="188"/>
      <c r="J18" s="188"/>
      <c r="K18" s="188"/>
      <c r="L18" s="188"/>
      <c r="M18" s="188"/>
      <c r="N18" s="188"/>
      <c r="O18" s="193"/>
      <c r="P18" s="187"/>
      <c r="Q18" s="188"/>
      <c r="R18" s="188"/>
      <c r="S18" s="188"/>
      <c r="T18" s="188"/>
      <c r="U18" s="188"/>
      <c r="V18" s="193"/>
      <c r="W18" s="194"/>
      <c r="Y18" s="18" t="s">
        <v>22</v>
      </c>
      <c r="Z18" s="23">
        <f>Summary!AF35</f>
        <v>4100</v>
      </c>
      <c r="AA18" s="23">
        <f>SUMIF($C$2:$C$35,Y18,$F$2:$F$35)+SUMIF($C$2:$C$35,Y18,$G$2:$G$35)</f>
        <v>0</v>
      </c>
      <c r="AB18" s="26">
        <f t="shared" si="0"/>
        <v>4100</v>
      </c>
      <c r="AD18" s="18" t="s">
        <v>133</v>
      </c>
      <c r="AE18" s="304">
        <f>SUM(W33:W33)</f>
        <v>0</v>
      </c>
      <c r="AF18" s="20"/>
    </row>
    <row r="19" spans="1:32">
      <c r="A19" s="284"/>
      <c r="B19" s="288"/>
      <c r="C19" s="186"/>
      <c r="D19" s="187"/>
      <c r="E19" s="188"/>
      <c r="F19" s="187"/>
      <c r="G19" s="193"/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194"/>
      <c r="Y19" s="18" t="s">
        <v>23</v>
      </c>
      <c r="Z19" s="23">
        <f>Summary!AF36</f>
        <v>176.2</v>
      </c>
      <c r="AA19" s="23">
        <f>SUMIF($C$2:$C$35,Y19,$F$2:$F$35)+SUMIF($C$2:$C$35,Y19,$G$2:$G$35)</f>
        <v>0</v>
      </c>
      <c r="AB19" s="26">
        <f t="shared" si="0"/>
        <v>176.2</v>
      </c>
      <c r="AD19" s="21" t="s">
        <v>29</v>
      </c>
      <c r="AE19" s="640">
        <f>SUM(AE12:AE18)</f>
        <v>0</v>
      </c>
      <c r="AF19" s="20"/>
    </row>
    <row r="20" spans="1:32">
      <c r="A20" s="284"/>
      <c r="B20" s="289"/>
      <c r="C20" s="186"/>
      <c r="D20" s="187"/>
      <c r="E20" s="193"/>
      <c r="F20" s="187"/>
      <c r="G20" s="193"/>
      <c r="H20" s="188"/>
      <c r="I20" s="188"/>
      <c r="J20" s="188"/>
      <c r="K20" s="188"/>
      <c r="L20" s="188"/>
      <c r="M20" s="188"/>
      <c r="N20" s="188"/>
      <c r="O20" s="193"/>
      <c r="P20" s="187"/>
      <c r="Q20" s="188"/>
      <c r="R20" s="188"/>
      <c r="S20" s="188"/>
      <c r="T20" s="188"/>
      <c r="U20" s="188"/>
      <c r="V20" s="193"/>
      <c r="W20" s="194"/>
      <c r="Y20" s="18" t="s">
        <v>24</v>
      </c>
      <c r="Z20" s="23">
        <f>Summary!AF37</f>
        <v>500</v>
      </c>
      <c r="AA20" s="23">
        <f>SUMIF($C$2:$C$35,Y20,$F$2:$F$35)+SUMIF($C$2:$C$35,Y20,$G$2:$G$35)</f>
        <v>0</v>
      </c>
      <c r="AB20" s="26">
        <f t="shared" si="0"/>
        <v>500</v>
      </c>
      <c r="AD20" s="124"/>
      <c r="AE20"/>
      <c r="AF20" s="125"/>
    </row>
    <row r="21" spans="1:32">
      <c r="A21" s="284"/>
      <c r="B21" s="289"/>
      <c r="C21" s="186"/>
      <c r="D21" s="187"/>
      <c r="E21" s="193"/>
      <c r="F21" s="187"/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194"/>
      <c r="Y21" s="18" t="s">
        <v>25</v>
      </c>
      <c r="Z21" s="23">
        <f>Summary!AF38</f>
        <v>523</v>
      </c>
      <c r="AA21" s="23">
        <f>SUMIF($C$2:$C$35,Y21,$F$2:$F$35)+SUMIF($C$2:$C$35,Y21,$G$2:$G$35)</f>
        <v>0</v>
      </c>
      <c r="AB21" s="26">
        <f t="shared" si="0"/>
        <v>523</v>
      </c>
      <c r="AD21" s="124"/>
      <c r="AE21"/>
      <c r="AF21" s="125"/>
    </row>
    <row r="22" spans="1:32">
      <c r="A22" s="284"/>
      <c r="B22" s="289"/>
      <c r="C22" s="186"/>
      <c r="D22" s="187"/>
      <c r="E22" s="193"/>
      <c r="F22" s="187"/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194"/>
      <c r="Y22" s="18" t="s">
        <v>26</v>
      </c>
      <c r="Z22" s="23">
        <f>Summary!AF39</f>
        <v>200</v>
      </c>
      <c r="AA22" s="23">
        <f>SUMIF($C$2:$C$35,Y22,$F$2:$F$35)+SUMIF($C$2:$C$35,Y22,$G$2:$G$35)</f>
        <v>0</v>
      </c>
      <c r="AB22" s="26">
        <f>Z22+AA22</f>
        <v>200</v>
      </c>
      <c r="AD22" s="124"/>
      <c r="AE22"/>
      <c r="AF22" s="125"/>
    </row>
    <row r="23" spans="1:32">
      <c r="A23" s="284"/>
      <c r="B23" s="289"/>
      <c r="C23" s="186"/>
      <c r="D23" s="187"/>
      <c r="E23" s="193"/>
      <c r="F23" s="187"/>
      <c r="G23" s="193"/>
      <c r="H23" s="188"/>
      <c r="I23" s="188"/>
      <c r="J23" s="188"/>
      <c r="K23" s="188"/>
      <c r="L23" s="188"/>
      <c r="M23" s="188"/>
      <c r="N23" s="188"/>
      <c r="O23" s="193"/>
      <c r="P23" s="187"/>
      <c r="Q23" s="188"/>
      <c r="R23" s="188"/>
      <c r="S23" s="188"/>
      <c r="T23" s="188"/>
      <c r="U23" s="188"/>
      <c r="V23" s="188"/>
      <c r="W23" s="191"/>
      <c r="Y23" s="18" t="s">
        <v>27</v>
      </c>
      <c r="Z23" s="23">
        <f>Summary!AF40</f>
        <v>0</v>
      </c>
      <c r="AA23" s="23">
        <f>SUMIF($C$2:$C$35,Y23,$F$2:$F$35)+SUMIF($C$2:$C$35,Y23,$G$2:$G$35)</f>
        <v>0</v>
      </c>
      <c r="AB23" s="26">
        <f>Z23+AA23</f>
        <v>0</v>
      </c>
      <c r="AD23" s="124"/>
      <c r="AE23"/>
      <c r="AF23" s="125"/>
    </row>
    <row r="24" spans="1:32">
      <c r="A24" s="284"/>
      <c r="B24" s="289"/>
      <c r="C24" s="186"/>
      <c r="D24" s="187"/>
      <c r="E24" s="193"/>
      <c r="F24" s="187"/>
      <c r="G24" s="193"/>
      <c r="H24" s="188"/>
      <c r="I24" s="188"/>
      <c r="J24" s="188"/>
      <c r="K24" s="188"/>
      <c r="L24" s="188"/>
      <c r="M24" s="188"/>
      <c r="N24" s="188"/>
      <c r="O24" s="193"/>
      <c r="P24" s="187"/>
      <c r="Q24" s="188"/>
      <c r="R24" s="188"/>
      <c r="S24" s="188"/>
      <c r="T24" s="188"/>
      <c r="U24" s="188"/>
      <c r="V24" s="188"/>
      <c r="W24" s="191"/>
      <c r="Y24" s="18" t="s">
        <v>28</v>
      </c>
      <c r="Z24" s="23">
        <f>Summary!AF41</f>
        <v>900</v>
      </c>
      <c r="AA24" s="23">
        <f>SUMIF($C$2:$C$35,Y24,$F$2:$F$35)+SUMIF($C$2:$C$35,Y24,$G$2:$G$35)</f>
        <v>0</v>
      </c>
      <c r="AB24" s="26">
        <f>Z24+AA24</f>
        <v>900</v>
      </c>
      <c r="AD24" s="124"/>
      <c r="AE24"/>
      <c r="AF24" s="125"/>
    </row>
    <row r="25" spans="1:32">
      <c r="A25" s="284"/>
      <c r="B25" s="289"/>
      <c r="C25" s="186"/>
      <c r="D25" s="187"/>
      <c r="E25" s="193"/>
      <c r="F25" s="187"/>
      <c r="G25" s="193"/>
      <c r="H25" s="188"/>
      <c r="I25" s="188"/>
      <c r="J25" s="188"/>
      <c r="K25" s="188"/>
      <c r="L25" s="188"/>
      <c r="M25" s="188"/>
      <c r="N25" s="188"/>
      <c r="O25" s="193"/>
      <c r="P25" s="187"/>
      <c r="Q25" s="188"/>
      <c r="R25" s="188"/>
      <c r="S25" s="188"/>
      <c r="T25" s="188"/>
      <c r="U25" s="188"/>
      <c r="V25" s="188"/>
      <c r="W25" s="191"/>
      <c r="Y25" s="18"/>
      <c r="Z25" s="23"/>
      <c r="AA25" s="23"/>
      <c r="AB25" s="26"/>
      <c r="AD25" s="124"/>
      <c r="AE25"/>
      <c r="AF25" s="125"/>
    </row>
    <row r="26" spans="1:32">
      <c r="A26" s="284"/>
      <c r="B26" s="289"/>
      <c r="C26" s="186"/>
      <c r="D26" s="187"/>
      <c r="E26" s="193"/>
      <c r="F26" s="187"/>
      <c r="G26" s="193"/>
      <c r="H26" s="188"/>
      <c r="I26" s="188"/>
      <c r="J26" s="188"/>
      <c r="K26" s="188"/>
      <c r="L26" s="188"/>
      <c r="M26" s="188"/>
      <c r="N26" s="188"/>
      <c r="O26" s="193"/>
      <c r="P26" s="187"/>
      <c r="Q26" s="188"/>
      <c r="R26" s="188"/>
      <c r="S26" s="188"/>
      <c r="T26" s="188"/>
      <c r="U26" s="188"/>
      <c r="V26" s="188"/>
      <c r="W26" s="191"/>
      <c r="Y26" s="18"/>
      <c r="Z26" s="23"/>
      <c r="AA26" s="23"/>
      <c r="AB26" s="26"/>
      <c r="AD26" s="124"/>
      <c r="AE26"/>
      <c r="AF26" s="125"/>
    </row>
    <row r="27" spans="1:32">
      <c r="A27" s="284"/>
      <c r="B27" s="289"/>
      <c r="C27" s="186"/>
      <c r="D27" s="187"/>
      <c r="E27" s="193"/>
      <c r="F27" s="187"/>
      <c r="G27" s="193"/>
      <c r="H27" s="188"/>
      <c r="I27" s="188"/>
      <c r="J27" s="188"/>
      <c r="K27" s="188"/>
      <c r="L27" s="188"/>
      <c r="M27" s="188"/>
      <c r="N27" s="188"/>
      <c r="O27" s="193"/>
      <c r="P27" s="187"/>
      <c r="Q27" s="188"/>
      <c r="R27" s="188"/>
      <c r="S27" s="188"/>
      <c r="T27" s="188"/>
      <c r="U27" s="188"/>
      <c r="V27" s="188"/>
      <c r="W27" s="191"/>
      <c r="Y27" s="18"/>
      <c r="Z27" s="23"/>
      <c r="AA27" s="23"/>
      <c r="AB27" s="26"/>
      <c r="AD27" s="124"/>
      <c r="AE27"/>
      <c r="AF27" s="125"/>
    </row>
    <row r="28" spans="1:32" ht="11.25" customHeight="1">
      <c r="A28" s="284"/>
      <c r="B28" s="288"/>
      <c r="C28" s="186"/>
      <c r="D28" s="187"/>
      <c r="E28" s="193"/>
      <c r="F28" s="187"/>
      <c r="G28" s="193"/>
      <c r="H28" s="188"/>
      <c r="I28" s="188"/>
      <c r="J28" s="188"/>
      <c r="K28" s="188"/>
      <c r="L28" s="188"/>
      <c r="M28" s="188"/>
      <c r="N28" s="188"/>
      <c r="O28" s="188"/>
      <c r="P28" s="187"/>
      <c r="Q28" s="188"/>
      <c r="R28" s="188"/>
      <c r="S28" s="188"/>
      <c r="T28" s="188"/>
      <c r="U28" s="188"/>
      <c r="V28" s="193"/>
      <c r="W28" s="194"/>
      <c r="Y28" s="18"/>
      <c r="Z28" s="23"/>
      <c r="AA28" s="23"/>
      <c r="AB28" s="26"/>
      <c r="AD28" s="124"/>
      <c r="AE28"/>
      <c r="AF28" s="125"/>
    </row>
    <row r="29" spans="1:32" ht="11.25" customHeight="1">
      <c r="A29" s="284"/>
      <c r="B29" s="288"/>
      <c r="C29" s="186"/>
      <c r="D29" s="187"/>
      <c r="E29" s="193"/>
      <c r="F29" s="187"/>
      <c r="G29" s="193"/>
      <c r="H29" s="188"/>
      <c r="I29" s="188"/>
      <c r="J29" s="188"/>
      <c r="K29" s="188"/>
      <c r="L29" s="188"/>
      <c r="M29" s="188"/>
      <c r="N29" s="188"/>
      <c r="O29" s="188"/>
      <c r="P29" s="187"/>
      <c r="Q29" s="188"/>
      <c r="R29" s="188"/>
      <c r="S29" s="188"/>
      <c r="T29" s="188"/>
      <c r="U29" s="188"/>
      <c r="V29" s="193"/>
      <c r="W29" s="194"/>
      <c r="Y29" s="18"/>
      <c r="Z29" s="23"/>
      <c r="AA29" s="23"/>
      <c r="AB29" s="26"/>
      <c r="AD29" s="124"/>
      <c r="AE29"/>
      <c r="AF29" s="125"/>
    </row>
    <row r="30" spans="1:32" ht="11.25" customHeight="1">
      <c r="A30" s="284"/>
      <c r="B30" s="288"/>
      <c r="C30" s="186"/>
      <c r="D30" s="187"/>
      <c r="E30" s="193"/>
      <c r="F30" s="187"/>
      <c r="G30" s="193"/>
      <c r="H30" s="188"/>
      <c r="I30" s="188"/>
      <c r="J30" s="188"/>
      <c r="K30" s="188"/>
      <c r="L30" s="188"/>
      <c r="M30" s="188"/>
      <c r="N30" s="188"/>
      <c r="O30" s="188"/>
      <c r="P30" s="187"/>
      <c r="Q30" s="188"/>
      <c r="R30" s="188"/>
      <c r="S30" s="188"/>
      <c r="T30" s="188"/>
      <c r="U30" s="188"/>
      <c r="V30" s="193"/>
      <c r="W30" s="194"/>
      <c r="Y30" s="18"/>
      <c r="Z30" s="23"/>
      <c r="AA30" s="23"/>
      <c r="AB30" s="26"/>
      <c r="AD30" s="124"/>
      <c r="AE30"/>
      <c r="AF30" s="125"/>
    </row>
    <row r="31" spans="1:32" ht="11.25" customHeight="1">
      <c r="A31" s="284"/>
      <c r="B31" s="288"/>
      <c r="C31" s="186"/>
      <c r="D31" s="187"/>
      <c r="E31" s="193"/>
      <c r="F31" s="187"/>
      <c r="G31" s="193"/>
      <c r="H31" s="188"/>
      <c r="I31" s="188"/>
      <c r="J31" s="188"/>
      <c r="K31" s="188"/>
      <c r="L31" s="188"/>
      <c r="M31" s="188"/>
      <c r="N31" s="188"/>
      <c r="O31" s="188"/>
      <c r="P31" s="187"/>
      <c r="Q31" s="188"/>
      <c r="R31" s="188"/>
      <c r="S31" s="188"/>
      <c r="T31" s="188"/>
      <c r="U31" s="188"/>
      <c r="V31" s="193"/>
      <c r="W31" s="194"/>
      <c r="Y31" s="18"/>
      <c r="Z31" s="23"/>
      <c r="AA31" s="23"/>
      <c r="AB31" s="26"/>
      <c r="AD31" s="124"/>
      <c r="AE31"/>
      <c r="AF31" s="125"/>
    </row>
    <row r="32" spans="1:32" ht="11.25" customHeight="1">
      <c r="A32" s="284"/>
      <c r="B32" s="289"/>
      <c r="C32" s="186"/>
      <c r="D32" s="187"/>
      <c r="E32" s="193"/>
      <c r="F32" s="187"/>
      <c r="G32" s="193"/>
      <c r="H32" s="188"/>
      <c r="I32" s="188"/>
      <c r="J32" s="188"/>
      <c r="K32" s="188"/>
      <c r="L32" s="188"/>
      <c r="M32" s="188"/>
      <c r="N32" s="188"/>
      <c r="O32" s="188"/>
      <c r="P32" s="187"/>
      <c r="Q32" s="188"/>
      <c r="R32" s="188"/>
      <c r="S32" s="188"/>
      <c r="T32" s="188"/>
      <c r="U32" s="188"/>
      <c r="V32" s="193"/>
      <c r="W32" s="194"/>
      <c r="Y32" s="18"/>
      <c r="Z32" s="23"/>
      <c r="AA32" s="23"/>
      <c r="AB32" s="26"/>
      <c r="AD32" s="124"/>
      <c r="AE32"/>
      <c r="AF32" s="125"/>
    </row>
    <row r="33" spans="1:32" ht="11.25" customHeight="1">
      <c r="A33" s="284"/>
      <c r="B33" s="289"/>
      <c r="C33" s="186"/>
      <c r="D33" s="187"/>
      <c r="E33" s="193"/>
      <c r="F33" s="187"/>
      <c r="G33" s="193"/>
      <c r="H33" s="188"/>
      <c r="I33" s="188"/>
      <c r="J33" s="188"/>
      <c r="K33" s="188"/>
      <c r="L33" s="188"/>
      <c r="M33" s="188"/>
      <c r="N33" s="188"/>
      <c r="O33" s="188"/>
      <c r="P33" s="187"/>
      <c r="Q33" s="188"/>
      <c r="R33" s="188"/>
      <c r="S33" s="188"/>
      <c r="T33" s="188"/>
      <c r="U33" s="188"/>
      <c r="V33" s="193"/>
      <c r="W33" s="194"/>
      <c r="Y33" s="18"/>
      <c r="Z33" s="23"/>
      <c r="AA33" s="23"/>
      <c r="AB33" s="26"/>
      <c r="AD33" s="124"/>
      <c r="AE33"/>
      <c r="AF33" s="125"/>
    </row>
    <row r="34" spans="1:32" ht="11.25" customHeight="1">
      <c r="A34" s="284"/>
      <c r="B34" s="289"/>
      <c r="C34" s="299"/>
      <c r="D34" s="188"/>
      <c r="E34" s="193"/>
      <c r="F34" s="187"/>
      <c r="G34" s="193"/>
      <c r="H34" s="188"/>
      <c r="I34" s="188"/>
      <c r="J34" s="188"/>
      <c r="K34" s="188"/>
      <c r="L34" s="188"/>
      <c r="M34" s="188"/>
      <c r="N34" s="188"/>
      <c r="O34" s="188"/>
      <c r="P34" s="187"/>
      <c r="Q34" s="188"/>
      <c r="R34" s="188"/>
      <c r="S34" s="188"/>
      <c r="T34" s="188"/>
      <c r="U34" s="188"/>
      <c r="V34" s="193"/>
      <c r="W34" s="194"/>
      <c r="Y34" s="18"/>
      <c r="Z34" s="23"/>
      <c r="AA34" s="23"/>
      <c r="AB34" s="26"/>
      <c r="AD34" s="124"/>
      <c r="AE34"/>
      <c r="AF34" s="125"/>
    </row>
    <row r="35" spans="1:32" ht="11.25" customHeight="1">
      <c r="A35" s="285"/>
      <c r="B35" s="102"/>
      <c r="C35" s="199"/>
      <c r="D35" s="200"/>
      <c r="E35" s="202"/>
      <c r="F35" s="200"/>
      <c r="G35" s="202"/>
      <c r="H35" s="201"/>
      <c r="I35" s="201"/>
      <c r="J35" s="201"/>
      <c r="K35" s="201"/>
      <c r="L35" s="201"/>
      <c r="M35" s="201"/>
      <c r="N35" s="201"/>
      <c r="O35" s="201"/>
      <c r="P35" s="200"/>
      <c r="Q35" s="201"/>
      <c r="R35" s="201"/>
      <c r="S35" s="201"/>
      <c r="T35" s="201"/>
      <c r="U35" s="201"/>
      <c r="V35" s="202"/>
      <c r="W35" s="205"/>
      <c r="Y35" s="18"/>
      <c r="Z35" s="23"/>
      <c r="AA35" s="23"/>
      <c r="AB35" s="26"/>
      <c r="AD35" s="124"/>
      <c r="AE35"/>
      <c r="AF35" s="125"/>
    </row>
    <row r="36" spans="1:32">
      <c r="A36" s="286"/>
      <c r="B36" s="290"/>
      <c r="C36" s="145"/>
      <c r="D36" s="147"/>
      <c r="E36" s="149"/>
      <c r="F36" s="147"/>
      <c r="G36" s="149"/>
      <c r="H36" s="148"/>
      <c r="I36" s="148"/>
      <c r="J36" s="148"/>
      <c r="K36" s="148"/>
      <c r="L36" s="148"/>
      <c r="M36" s="148"/>
      <c r="N36" s="148"/>
      <c r="O36" s="148"/>
      <c r="P36" s="147"/>
      <c r="Q36" s="148"/>
      <c r="R36" s="148"/>
      <c r="S36" s="148"/>
      <c r="T36" s="148"/>
      <c r="U36" s="148"/>
      <c r="V36" s="149"/>
      <c r="W36" s="150"/>
      <c r="Y36" s="30"/>
      <c r="Z36" s="48"/>
      <c r="AA36" s="48"/>
      <c r="AB36" s="49"/>
      <c r="AD36" s="126"/>
      <c r="AE36" s="127"/>
      <c r="AF36" s="128"/>
    </row>
    <row r="37" spans="1:32">
      <c r="A37" s="31" t="s">
        <v>134</v>
      </c>
      <c r="B37" s="31"/>
      <c r="C37" s="146"/>
      <c r="D37" s="300">
        <f t="shared" ref="D37:W37" si="1">SUM(D3:D36)</f>
        <v>0</v>
      </c>
      <c r="E37" s="300">
        <f t="shared" si="1"/>
        <v>0</v>
      </c>
      <c r="F37" s="301">
        <f t="shared" si="1"/>
        <v>0</v>
      </c>
      <c r="G37" s="301">
        <f t="shared" si="1"/>
        <v>0</v>
      </c>
      <c r="H37" s="300">
        <f t="shared" si="1"/>
        <v>0</v>
      </c>
      <c r="I37" s="300">
        <f t="shared" si="1"/>
        <v>0</v>
      </c>
      <c r="J37" s="300">
        <f t="shared" si="1"/>
        <v>0</v>
      </c>
      <c r="K37" s="300">
        <f t="shared" si="1"/>
        <v>0</v>
      </c>
      <c r="L37" s="300">
        <f t="shared" si="1"/>
        <v>0</v>
      </c>
      <c r="M37" s="300">
        <f t="shared" si="1"/>
        <v>0</v>
      </c>
      <c r="N37" s="300">
        <f t="shared" si="1"/>
        <v>0</v>
      </c>
      <c r="O37" s="300">
        <f t="shared" si="1"/>
        <v>0</v>
      </c>
      <c r="P37" s="300">
        <f t="shared" si="1"/>
        <v>0</v>
      </c>
      <c r="Q37" s="300">
        <f t="shared" si="1"/>
        <v>0</v>
      </c>
      <c r="R37" s="300">
        <f t="shared" si="1"/>
        <v>0</v>
      </c>
      <c r="S37" s="300">
        <f t="shared" si="1"/>
        <v>0</v>
      </c>
      <c r="T37" s="300">
        <f t="shared" si="1"/>
        <v>0</v>
      </c>
      <c r="U37" s="300">
        <f t="shared" si="1"/>
        <v>0</v>
      </c>
      <c r="V37" s="300">
        <f t="shared" si="1"/>
        <v>0</v>
      </c>
      <c r="W37" s="196">
        <f t="shared" si="1"/>
        <v>0</v>
      </c>
      <c r="Y37" s="100" t="s">
        <v>29</v>
      </c>
      <c r="Z37" s="32">
        <f>SUM(Z4:Z35)</f>
        <v>12024.2</v>
      </c>
      <c r="AA37" s="32">
        <f>SUM(AA4:AA35)</f>
        <v>0</v>
      </c>
      <c r="AB37" s="101">
        <f>SUM(AB4:AB35)</f>
        <v>12024.2</v>
      </c>
      <c r="AC37" s="11"/>
      <c r="AD37" s="100"/>
      <c r="AE37" s="57"/>
      <c r="AF37" s="102"/>
    </row>
    <row r="38" spans="1:32">
      <c r="A38" s="31"/>
      <c r="B38" s="31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320"/>
      <c r="Y38" s="31"/>
      <c r="Z38" s="95"/>
      <c r="AA38" s="95"/>
      <c r="AB38" s="95"/>
      <c r="AD38" s="31"/>
      <c r="AE38" s="24"/>
    </row>
    <row r="39" spans="1:32">
      <c r="A39" s="31"/>
      <c r="B39" s="31"/>
      <c r="C39"/>
      <c r="D39"/>
      <c r="H39" s="96"/>
      <c r="I39"/>
      <c r="J39"/>
      <c r="K39"/>
      <c r="L39"/>
      <c r="M39"/>
      <c r="Q39" s="111"/>
      <c r="R39" s="96"/>
      <c r="S39" s="96"/>
      <c r="T39" s="96"/>
      <c r="U39" s="96"/>
      <c r="W39" s="641">
        <f>SUM(D37:W37)</f>
        <v>0</v>
      </c>
      <c r="Z39" s="95"/>
      <c r="AA39" s="95"/>
      <c r="AB39" s="95"/>
      <c r="AD39" s="31"/>
      <c r="AE39" s="24"/>
    </row>
    <row r="40" spans="1:32">
      <c r="A40"/>
      <c r="B40"/>
      <c r="C40"/>
      <c r="D40"/>
      <c r="H40" s="96"/>
      <c r="I40"/>
      <c r="J40"/>
      <c r="K40"/>
      <c r="L40"/>
      <c r="M40" s="134"/>
      <c r="N40"/>
      <c r="O40"/>
      <c r="P40"/>
      <c r="Q40"/>
      <c r="W40" s="281"/>
    </row>
    <row r="41" spans="1:32">
      <c r="A41"/>
      <c r="B41"/>
      <c r="C41"/>
      <c r="D41"/>
      <c r="H41" s="96"/>
      <c r="I41"/>
      <c r="J41"/>
      <c r="K41"/>
      <c r="L41"/>
      <c r="M41"/>
      <c r="N41"/>
      <c r="O41"/>
      <c r="P41"/>
      <c r="Q41"/>
      <c r="V41" s="35"/>
      <c r="W41" s="282"/>
      <c r="X41" s="37"/>
      <c r="Y41" s="38" t="s">
        <v>135</v>
      </c>
    </row>
    <row r="42" spans="1:32">
      <c r="A42"/>
      <c r="B42"/>
      <c r="C42"/>
      <c r="D42"/>
      <c r="H42" s="96"/>
      <c r="I42"/>
      <c r="J42"/>
      <c r="K42"/>
      <c r="L42"/>
      <c r="M42"/>
      <c r="N42"/>
      <c r="O42"/>
      <c r="P42"/>
      <c r="Q42"/>
      <c r="V42" s="204" t="s">
        <v>136</v>
      </c>
      <c r="W42" s="279">
        <f>SUM(H37:O37)</f>
        <v>0</v>
      </c>
      <c r="X42" s="37"/>
      <c r="Y42" s="41" t="e">
        <f>W42/W45</f>
        <v>#DIV/0!</v>
      </c>
    </row>
    <row r="43" spans="1:32">
      <c r="A43"/>
      <c r="B43"/>
      <c r="C43"/>
      <c r="D43"/>
      <c r="H43" s="96"/>
      <c r="I43"/>
      <c r="J43"/>
      <c r="K43"/>
      <c r="L43"/>
      <c r="M43"/>
      <c r="N43"/>
      <c r="O43"/>
      <c r="P43"/>
      <c r="Q43"/>
      <c r="V43" s="204" t="s">
        <v>137</v>
      </c>
      <c r="W43" s="279">
        <f>SUM(P37:W37)</f>
        <v>0</v>
      </c>
      <c r="X43" s="37"/>
      <c r="Y43" s="41" t="e">
        <f>W43/W45</f>
        <v>#DIV/0!</v>
      </c>
    </row>
    <row r="44" spans="1:32">
      <c r="A44"/>
      <c r="B44"/>
      <c r="C44"/>
      <c r="D44"/>
      <c r="H44" s="96"/>
      <c r="I44"/>
      <c r="J44"/>
      <c r="K44"/>
      <c r="L44"/>
      <c r="M44"/>
      <c r="N44"/>
      <c r="O44"/>
      <c r="P44"/>
      <c r="Q44"/>
      <c r="V44" s="204" t="s">
        <v>138</v>
      </c>
      <c r="W44" s="279">
        <f>E37+D37</f>
        <v>0</v>
      </c>
      <c r="X44" s="37"/>
      <c r="Y44" s="41" t="e">
        <f>W44/W45</f>
        <v>#DIV/0!</v>
      </c>
    </row>
    <row r="45" spans="1:32">
      <c r="A45"/>
      <c r="B45"/>
      <c r="C45"/>
      <c r="D45"/>
      <c r="H45" s="96"/>
      <c r="I45"/>
      <c r="J45"/>
      <c r="K45"/>
      <c r="L45"/>
      <c r="M45"/>
      <c r="N45"/>
      <c r="O45"/>
      <c r="P45"/>
      <c r="Q45"/>
      <c r="V45" s="204" t="s">
        <v>56</v>
      </c>
      <c r="W45" s="642">
        <f>SUM(W42:W44)</f>
        <v>0</v>
      </c>
      <c r="X45" s="37"/>
      <c r="Y45" s="43"/>
    </row>
    <row r="46" spans="1:32">
      <c r="A46"/>
      <c r="B46"/>
      <c r="C46"/>
      <c r="D46"/>
      <c r="H46" s="96"/>
      <c r="I46"/>
      <c r="J46"/>
      <c r="K46"/>
      <c r="L46"/>
      <c r="M46"/>
      <c r="N46"/>
      <c r="O46"/>
      <c r="P46"/>
      <c r="Q46"/>
      <c r="V46" s="35"/>
      <c r="W46" s="36"/>
      <c r="X46" s="37"/>
      <c r="Y46" s="37"/>
    </row>
    <row r="47" spans="1:32">
      <c r="A47"/>
      <c r="B47"/>
      <c r="C47"/>
      <c r="D47"/>
      <c r="F47"/>
      <c r="G47"/>
      <c r="H47" s="96"/>
      <c r="I47"/>
      <c r="J47"/>
      <c r="K47"/>
      <c r="L47"/>
      <c r="M47"/>
      <c r="N47"/>
      <c r="O47"/>
      <c r="P47"/>
      <c r="Q47"/>
      <c r="V47" s="35"/>
      <c r="W47" s="44">
        <f>W45-W39</f>
        <v>0</v>
      </c>
      <c r="X47" s="37"/>
      <c r="Y47" s="37"/>
    </row>
    <row r="48" spans="1:32">
      <c r="A48"/>
      <c r="B48"/>
      <c r="C48"/>
      <c r="D48"/>
      <c r="F48"/>
      <c r="G48"/>
      <c r="H48" s="96"/>
      <c r="I48"/>
      <c r="J48"/>
      <c r="K48"/>
      <c r="L48"/>
      <c r="M48"/>
      <c r="N48"/>
      <c r="O48"/>
      <c r="P48"/>
      <c r="Q48"/>
    </row>
    <row r="49" spans="1:17">
      <c r="A49"/>
      <c r="B49"/>
      <c r="C49"/>
      <c r="D49"/>
      <c r="F49"/>
      <c r="G49"/>
      <c r="H49"/>
      <c r="I49"/>
      <c r="J49"/>
      <c r="K49"/>
      <c r="L49"/>
      <c r="M49"/>
      <c r="N49"/>
      <c r="O49"/>
      <c r="P49"/>
      <c r="Q49"/>
    </row>
    <row r="50" spans="1:17">
      <c r="A50"/>
      <c r="B50"/>
      <c r="C50"/>
      <c r="D50"/>
      <c r="F50"/>
      <c r="G50"/>
      <c r="H50"/>
      <c r="I50"/>
      <c r="J50"/>
      <c r="K50"/>
      <c r="L50"/>
      <c r="M50"/>
      <c r="N50"/>
      <c r="O50"/>
      <c r="P50"/>
      <c r="Q50"/>
    </row>
    <row r="51" spans="1:17">
      <c r="A51"/>
      <c r="B51"/>
      <c r="C51"/>
      <c r="D51"/>
      <c r="F51"/>
      <c r="G51"/>
      <c r="H51"/>
      <c r="I51"/>
      <c r="J51"/>
      <c r="K51"/>
      <c r="L51"/>
      <c r="M51"/>
      <c r="N51"/>
      <c r="O51"/>
      <c r="P51"/>
      <c r="Q51"/>
    </row>
    <row r="52" spans="1:17">
      <c r="A52"/>
      <c r="B52"/>
      <c r="C52"/>
      <c r="D52"/>
      <c r="F52"/>
      <c r="G52"/>
      <c r="H52"/>
      <c r="I52"/>
      <c r="J52"/>
      <c r="K52"/>
      <c r="L52"/>
      <c r="M52"/>
      <c r="N52"/>
      <c r="O52"/>
      <c r="P52"/>
      <c r="Q52"/>
    </row>
    <row r="53" spans="1:17">
      <c r="A53"/>
      <c r="B53"/>
      <c r="C53"/>
      <c r="D53"/>
      <c r="F53"/>
      <c r="G53"/>
      <c r="H53"/>
      <c r="I53"/>
      <c r="J53"/>
      <c r="K53"/>
      <c r="L53"/>
      <c r="M53"/>
      <c r="N53"/>
      <c r="O53"/>
      <c r="P53"/>
      <c r="Q53"/>
    </row>
    <row r="54" spans="1:17">
      <c r="A54"/>
      <c r="B54"/>
      <c r="C54"/>
      <c r="D54"/>
      <c r="F54"/>
      <c r="G54"/>
      <c r="H54"/>
      <c r="I54"/>
      <c r="J54"/>
      <c r="K54"/>
      <c r="L54"/>
      <c r="M54"/>
      <c r="N54"/>
      <c r="O54"/>
      <c r="P54"/>
      <c r="Q54"/>
    </row>
    <row r="55" spans="1:17">
      <c r="A55"/>
      <c r="B55"/>
      <c r="G55"/>
      <c r="H55"/>
      <c r="I55"/>
      <c r="J55"/>
      <c r="K55"/>
      <c r="L55"/>
      <c r="M55"/>
      <c r="N55"/>
      <c r="O55"/>
      <c r="P55"/>
      <c r="Q55"/>
    </row>
    <row r="56" spans="1:17">
      <c r="A56"/>
      <c r="B56"/>
      <c r="G56"/>
      <c r="H56"/>
      <c r="I56"/>
      <c r="J56"/>
      <c r="K56"/>
      <c r="L56"/>
      <c r="M56"/>
      <c r="N56"/>
      <c r="O56"/>
      <c r="P56"/>
      <c r="Q56"/>
    </row>
    <row r="57" spans="1:17">
      <c r="A57"/>
      <c r="B57"/>
      <c r="G57"/>
      <c r="H57"/>
      <c r="I57"/>
      <c r="J57"/>
      <c r="K57"/>
      <c r="L57"/>
      <c r="M57"/>
      <c r="N57"/>
      <c r="O57"/>
      <c r="P57"/>
      <c r="Q57"/>
    </row>
    <row r="58" spans="1:17">
      <c r="A58"/>
      <c r="B58"/>
      <c r="C58"/>
      <c r="G58"/>
      <c r="H58"/>
      <c r="I58"/>
      <c r="J58"/>
      <c r="K58"/>
      <c r="L58"/>
      <c r="M58"/>
      <c r="N58"/>
      <c r="O58"/>
      <c r="P58"/>
      <c r="Q58"/>
    </row>
    <row r="59" spans="1:17">
      <c r="A59"/>
      <c r="B59"/>
      <c r="G59"/>
      <c r="H59"/>
      <c r="I59"/>
      <c r="J59"/>
      <c r="K59"/>
      <c r="L59"/>
      <c r="M59"/>
      <c r="N59"/>
      <c r="O59"/>
      <c r="P59"/>
      <c r="Q59"/>
    </row>
    <row r="60" spans="1:17">
      <c r="A60"/>
      <c r="B60"/>
      <c r="G60"/>
      <c r="H60"/>
      <c r="I60"/>
      <c r="J60"/>
      <c r="K60"/>
      <c r="L60"/>
      <c r="M60"/>
      <c r="N60"/>
      <c r="O60"/>
      <c r="P60"/>
      <c r="Q60"/>
    </row>
    <row r="61" spans="1:17">
      <c r="A61"/>
      <c r="B61"/>
      <c r="G61"/>
      <c r="H61"/>
      <c r="I61"/>
      <c r="J61"/>
      <c r="K61"/>
      <c r="L61"/>
      <c r="M61"/>
      <c r="N61"/>
      <c r="O61"/>
      <c r="P61"/>
      <c r="Q61"/>
    </row>
    <row r="62" spans="1:17">
      <c r="A62"/>
      <c r="B62"/>
      <c r="G62"/>
      <c r="H62"/>
      <c r="I62"/>
      <c r="J62"/>
      <c r="K62"/>
      <c r="L62"/>
      <c r="M62"/>
      <c r="N62"/>
      <c r="O62"/>
      <c r="P62"/>
      <c r="Q62"/>
    </row>
    <row r="63" spans="1:17">
      <c r="A63"/>
      <c r="B63"/>
      <c r="G63"/>
      <c r="H63"/>
      <c r="I63"/>
      <c r="J63"/>
      <c r="K63"/>
      <c r="L63"/>
      <c r="M63"/>
      <c r="N63"/>
      <c r="O63"/>
      <c r="P63"/>
      <c r="Q63"/>
    </row>
    <row r="64" spans="1:1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3">
      <c r="B65"/>
      <c r="C65"/>
      <c r="D65"/>
      <c r="E65"/>
      <c r="F65"/>
      <c r="G65"/>
      <c r="H65"/>
      <c r="I65"/>
      <c r="J65"/>
      <c r="K65"/>
      <c r="L65"/>
      <c r="M65"/>
    </row>
    <row r="66" spans="2:13">
      <c r="B66"/>
      <c r="C66"/>
      <c r="D66"/>
      <c r="E66"/>
      <c r="F66"/>
      <c r="G66"/>
      <c r="H66"/>
      <c r="I66"/>
      <c r="J66"/>
      <c r="K66"/>
      <c r="L66"/>
      <c r="M66"/>
    </row>
    <row r="67" spans="2:13">
      <c r="B67"/>
      <c r="C67"/>
      <c r="D67"/>
      <c r="E67"/>
      <c r="F67"/>
      <c r="G67"/>
      <c r="H67"/>
      <c r="I67"/>
      <c r="J67"/>
      <c r="K67"/>
      <c r="L67"/>
      <c r="M67"/>
    </row>
    <row r="68" spans="2:13">
      <c r="B68"/>
      <c r="C68"/>
      <c r="D68"/>
      <c r="E68"/>
      <c r="F68"/>
      <c r="G68"/>
      <c r="H68"/>
      <c r="I68"/>
      <c r="J68"/>
      <c r="K68"/>
      <c r="L68"/>
      <c r="M68"/>
    </row>
    <row r="69" spans="2:13">
      <c r="B69"/>
      <c r="C69"/>
      <c r="D69"/>
      <c r="E69"/>
      <c r="F69"/>
      <c r="G69"/>
      <c r="H69"/>
      <c r="I69"/>
      <c r="J69"/>
      <c r="K69"/>
      <c r="L69"/>
      <c r="M69"/>
    </row>
    <row r="70" spans="2:13">
      <c r="B70"/>
      <c r="C70"/>
      <c r="D70"/>
      <c r="E70"/>
      <c r="F70"/>
      <c r="G70"/>
      <c r="H70"/>
      <c r="I70"/>
      <c r="J70"/>
      <c r="K70"/>
      <c r="L70"/>
      <c r="M70"/>
    </row>
    <row r="71" spans="2:13">
      <c r="B71"/>
      <c r="C71"/>
      <c r="D71"/>
      <c r="E71"/>
      <c r="F71"/>
      <c r="G71"/>
    </row>
    <row r="72" spans="2:13">
      <c r="B72"/>
      <c r="C72"/>
      <c r="D72"/>
      <c r="E72"/>
      <c r="F72"/>
      <c r="G72"/>
    </row>
    <row r="73" spans="2:13">
      <c r="B73"/>
      <c r="C73"/>
      <c r="D73"/>
      <c r="E73"/>
      <c r="F73"/>
      <c r="G73"/>
    </row>
    <row r="74" spans="2:13">
      <c r="B74"/>
      <c r="C74"/>
      <c r="D74"/>
      <c r="E74"/>
      <c r="F74"/>
      <c r="G74"/>
    </row>
    <row r="75" spans="2:13">
      <c r="B75"/>
      <c r="C75"/>
      <c r="D75"/>
      <c r="E75"/>
      <c r="F75"/>
      <c r="G75"/>
    </row>
    <row r="76" spans="2:13">
      <c r="B76"/>
      <c r="C76"/>
      <c r="D76"/>
      <c r="E76"/>
      <c r="F76"/>
      <c r="G76"/>
    </row>
    <row r="77" spans="2:13">
      <c r="B77"/>
      <c r="C77"/>
      <c r="D77"/>
      <c r="E77"/>
      <c r="F77"/>
      <c r="G77"/>
    </row>
    <row r="78" spans="2:13">
      <c r="B78"/>
      <c r="C78"/>
      <c r="D78"/>
      <c r="E78"/>
      <c r="F78"/>
      <c r="G78"/>
    </row>
    <row r="79" spans="2:13">
      <c r="B79"/>
      <c r="C79"/>
      <c r="D79"/>
      <c r="E79"/>
      <c r="F79"/>
      <c r="G79"/>
    </row>
    <row r="80" spans="2:13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31"/>
  <sheetViews>
    <sheetView topLeftCell="G1" zoomScale="70" zoomScaleNormal="70" zoomScalePageLayoutView="85" workbookViewId="0">
      <selection activeCell="O50" sqref="O50"/>
    </sheetView>
  </sheetViews>
  <sheetFormatPr defaultColWidth="8.85546875" defaultRowHeight="12.75"/>
  <cols>
    <col min="1" max="1" width="9.7109375" style="2" bestFit="1" customWidth="1"/>
    <col min="2" max="2" width="29" style="2" bestFit="1" customWidth="1"/>
    <col min="3" max="3" width="14.140625" style="2" bestFit="1" customWidth="1"/>
    <col min="4" max="4" width="9.85546875" style="2" customWidth="1"/>
    <col min="5" max="5" width="10" style="2" customWidth="1"/>
    <col min="6" max="6" width="9.28515625" style="2" bestFit="1" customWidth="1"/>
    <col min="7" max="7" width="10" style="2" bestFit="1" customWidth="1"/>
    <col min="8" max="8" width="12" style="105" bestFit="1" customWidth="1"/>
    <col min="9" max="9" width="10.7109375" style="105" bestFit="1" customWidth="1"/>
    <col min="10" max="10" width="12.42578125" style="105" customWidth="1"/>
    <col min="11" max="13" width="10.7109375" style="105" bestFit="1" customWidth="1"/>
    <col min="14" max="14" width="9.7109375" style="105" bestFit="1" customWidth="1"/>
    <col min="15" max="15" width="12" style="105" bestFit="1" customWidth="1"/>
    <col min="16" max="16" width="12.28515625" style="105" bestFit="1" customWidth="1"/>
    <col min="17" max="17" width="10.7109375" style="105" bestFit="1" customWidth="1"/>
    <col min="18" max="18" width="12.28515625" style="105" bestFit="1" customWidth="1"/>
    <col min="19" max="19" width="12.28515625" style="105" customWidth="1"/>
    <col min="20" max="21" width="10.7109375" style="105" bestFit="1" customWidth="1"/>
    <col min="22" max="22" width="12.28515625" style="105" customWidth="1"/>
    <col min="23" max="23" width="14" style="33" bestFit="1" customWidth="1"/>
    <col min="24" max="24" width="6.42578125" style="2" customWidth="1"/>
    <col min="25" max="25" width="12.42578125" style="2" customWidth="1"/>
    <col min="26" max="26" width="14.7109375" style="2" customWidth="1"/>
    <col min="27" max="27" width="13.42578125" style="2" bestFit="1" customWidth="1"/>
    <col min="28" max="28" width="12.85546875" style="2" bestFit="1" customWidth="1"/>
    <col min="29" max="29" width="5.28515625" style="2" customWidth="1"/>
    <col min="30" max="30" width="26.14062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116" t="s">
        <v>91</v>
      </c>
      <c r="B2" s="31" t="s">
        <v>114</v>
      </c>
      <c r="C2" s="63" t="s">
        <v>115</v>
      </c>
      <c r="D2" s="137" t="s">
        <v>116</v>
      </c>
      <c r="E2" s="138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283"/>
      <c r="B3" s="287"/>
      <c r="C3" s="178"/>
      <c r="D3" s="179"/>
      <c r="E3" s="181"/>
      <c r="F3" s="182"/>
      <c r="G3" s="181"/>
      <c r="H3" s="180"/>
      <c r="I3" s="180"/>
      <c r="J3" s="180"/>
      <c r="K3" s="180"/>
      <c r="L3" s="180"/>
      <c r="M3" s="180"/>
      <c r="N3" s="180"/>
      <c r="O3" s="180"/>
      <c r="P3" s="179"/>
      <c r="Q3" s="180"/>
      <c r="R3" s="180"/>
      <c r="S3" s="180"/>
      <c r="T3" s="180"/>
      <c r="U3" s="180"/>
      <c r="V3" s="181"/>
      <c r="W3" s="183"/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284"/>
      <c r="B4" s="288"/>
      <c r="C4" s="302"/>
      <c r="D4" s="105"/>
      <c r="E4" s="105"/>
      <c r="F4" s="225"/>
      <c r="G4" s="17"/>
      <c r="H4" s="188"/>
      <c r="I4" s="188"/>
      <c r="J4" s="188"/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194"/>
      <c r="Y4" s="18" t="s">
        <v>8</v>
      </c>
      <c r="Z4" s="23">
        <f>Summary!AC21</f>
        <v>350</v>
      </c>
      <c r="AA4" s="23">
        <f>SUMIF($C$2:$C$43,Y4,$F$2:$F$43)+SUMIF($C$2:$C$43,Y4,$G$2:$G$43)</f>
        <v>0</v>
      </c>
      <c r="AB4" s="26">
        <f t="shared" ref="AB4:AB21" si="0">Z4+AA4</f>
        <v>350</v>
      </c>
      <c r="AD4" s="18"/>
      <c r="AE4" s="19"/>
      <c r="AF4" s="103"/>
    </row>
    <row r="5" spans="1:33">
      <c r="A5" s="284"/>
      <c r="B5" s="289"/>
      <c r="C5" s="299"/>
      <c r="D5" s="195"/>
      <c r="E5" s="195"/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194"/>
      <c r="Y5" s="18" t="s">
        <v>9</v>
      </c>
      <c r="Z5" s="23">
        <f>Summary!AC22</f>
        <v>335</v>
      </c>
      <c r="AA5" s="23">
        <f t="shared" ref="AA5:AA24" si="1">SUMIF($C$2:$C$43,Y5,$F$2:$F$43)+SUMIF($C$2:$C$43,Y5,$G$2:$G$43)</f>
        <v>0</v>
      </c>
      <c r="AB5" s="26">
        <f t="shared" si="0"/>
        <v>335</v>
      </c>
      <c r="AD5" s="21" t="s">
        <v>128</v>
      </c>
      <c r="AE5" s="19"/>
      <c r="AF5" s="20"/>
    </row>
    <row r="6" spans="1:33">
      <c r="A6" s="284"/>
      <c r="B6" s="289"/>
      <c r="C6" s="299"/>
      <c r="D6" s="188"/>
      <c r="E6" s="195"/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4"/>
      <c r="W6" s="194"/>
      <c r="Y6" s="18" t="s">
        <v>10</v>
      </c>
      <c r="Z6" s="23">
        <f>Summary!AC23</f>
        <v>20</v>
      </c>
      <c r="AA6" s="23">
        <f t="shared" si="1"/>
        <v>0</v>
      </c>
      <c r="AB6" s="26">
        <f t="shared" si="0"/>
        <v>20</v>
      </c>
      <c r="AD6" s="18" t="s">
        <v>49</v>
      </c>
      <c r="AE6" s="22"/>
      <c r="AF6" s="20"/>
    </row>
    <row r="7" spans="1:33">
      <c r="A7" s="284"/>
      <c r="B7" s="289"/>
      <c r="C7" s="186"/>
      <c r="D7" s="187"/>
      <c r="E7" s="188"/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194"/>
      <c r="Y7" s="47" t="s">
        <v>11</v>
      </c>
      <c r="Z7" s="23">
        <f>Summary!AC24</f>
        <v>20</v>
      </c>
      <c r="AA7" s="23">
        <f t="shared" si="1"/>
        <v>0</v>
      </c>
      <c r="AB7" s="26">
        <f t="shared" si="0"/>
        <v>20</v>
      </c>
      <c r="AD7" s="18" t="s">
        <v>111</v>
      </c>
      <c r="AE7" s="23"/>
      <c r="AF7" s="20"/>
    </row>
    <row r="8" spans="1:33">
      <c r="A8" s="284"/>
      <c r="B8" s="289"/>
      <c r="C8" s="186"/>
      <c r="D8" s="187"/>
      <c r="E8" s="188"/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93"/>
      <c r="W8" s="194"/>
      <c r="Y8" s="18" t="s">
        <v>12</v>
      </c>
      <c r="Z8" s="23">
        <f>Summary!AC25</f>
        <v>700</v>
      </c>
      <c r="AA8" s="23">
        <f t="shared" si="1"/>
        <v>0</v>
      </c>
      <c r="AB8" s="26">
        <f t="shared" si="0"/>
        <v>700</v>
      </c>
      <c r="AD8" s="18" t="s">
        <v>131</v>
      </c>
      <c r="AE8" s="25"/>
      <c r="AF8" s="20"/>
    </row>
    <row r="9" spans="1:33">
      <c r="A9" s="284"/>
      <c r="B9" s="289"/>
      <c r="C9" s="186"/>
      <c r="D9" s="187"/>
      <c r="E9" s="188"/>
      <c r="F9" s="187"/>
      <c r="G9" s="193"/>
      <c r="H9" s="188"/>
      <c r="I9" s="188"/>
      <c r="J9" s="188"/>
      <c r="K9" s="188"/>
      <c r="L9" s="188"/>
      <c r="M9" s="188"/>
      <c r="N9" s="188"/>
      <c r="O9" s="188"/>
      <c r="P9" s="187"/>
      <c r="Q9" s="188"/>
      <c r="R9" s="188"/>
      <c r="S9" s="188"/>
      <c r="T9" s="188"/>
      <c r="U9" s="188"/>
      <c r="V9" s="194"/>
      <c r="W9" s="194"/>
      <c r="Y9" s="18" t="s">
        <v>13</v>
      </c>
      <c r="Z9" s="23">
        <f>Summary!AC26</f>
        <v>1300</v>
      </c>
      <c r="AA9" s="23">
        <f t="shared" si="1"/>
        <v>0</v>
      </c>
      <c r="AB9" s="26">
        <f t="shared" si="0"/>
        <v>1300</v>
      </c>
      <c r="AD9" s="18" t="s">
        <v>124</v>
      </c>
      <c r="AE9" s="22"/>
      <c r="AF9" s="20"/>
    </row>
    <row r="10" spans="1:33">
      <c r="A10" s="284"/>
      <c r="B10" s="289"/>
      <c r="C10" s="186"/>
      <c r="D10" s="187"/>
      <c r="E10" s="188"/>
      <c r="F10" s="187"/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194"/>
      <c r="Y10" s="18" t="s">
        <v>14</v>
      </c>
      <c r="Z10" s="23">
        <f>Summary!AC27</f>
        <v>150</v>
      </c>
      <c r="AA10" s="23">
        <f t="shared" si="1"/>
        <v>0</v>
      </c>
      <c r="AB10" s="26">
        <f t="shared" si="0"/>
        <v>150</v>
      </c>
      <c r="AD10" s="21" t="s">
        <v>29</v>
      </c>
      <c r="AE10" s="640">
        <f>SUM(AE4:AE9)</f>
        <v>0</v>
      </c>
      <c r="AF10" s="20"/>
    </row>
    <row r="11" spans="1:33">
      <c r="A11" s="284"/>
      <c r="B11" s="289"/>
      <c r="C11" s="186"/>
      <c r="D11" s="187"/>
      <c r="E11" s="188"/>
      <c r="F11" s="187"/>
      <c r="G11" s="193"/>
      <c r="H11" s="188"/>
      <c r="I11" s="188"/>
      <c r="J11" s="195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194"/>
      <c r="Y11" s="18" t="s">
        <v>15</v>
      </c>
      <c r="Z11" s="23">
        <f>Summary!AC28</f>
        <v>200</v>
      </c>
      <c r="AA11" s="23">
        <f t="shared" si="1"/>
        <v>0</v>
      </c>
      <c r="AB11" s="26">
        <f>Z11+AA11</f>
        <v>200</v>
      </c>
      <c r="AD11" s="21"/>
      <c r="AE11" s="24"/>
      <c r="AF11" s="20"/>
    </row>
    <row r="12" spans="1:33">
      <c r="A12" s="284"/>
      <c r="B12" s="289"/>
      <c r="C12" s="186"/>
      <c r="D12" s="187"/>
      <c r="E12" s="188"/>
      <c r="F12" s="187"/>
      <c r="G12" s="193"/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194"/>
      <c r="Y12" s="18" t="s">
        <v>16</v>
      </c>
      <c r="Z12" s="23">
        <f>Summary!AC29</f>
        <v>200</v>
      </c>
      <c r="AA12" s="23">
        <f t="shared" si="1"/>
        <v>0</v>
      </c>
      <c r="AB12" s="26">
        <f>Z12+AA12</f>
        <v>200</v>
      </c>
      <c r="AD12" s="21"/>
      <c r="AE12" s="24"/>
      <c r="AF12" s="20"/>
    </row>
    <row r="13" spans="1:33">
      <c r="A13" s="284"/>
      <c r="B13" s="289"/>
      <c r="C13" s="186"/>
      <c r="D13" s="187"/>
      <c r="E13" s="188"/>
      <c r="F13" s="187"/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194"/>
      <c r="Y13" s="18" t="s">
        <v>17</v>
      </c>
      <c r="Z13" s="23">
        <f>Summary!AC30</f>
        <v>1000</v>
      </c>
      <c r="AA13" s="23">
        <f t="shared" si="1"/>
        <v>0</v>
      </c>
      <c r="AB13" s="26">
        <f t="shared" si="0"/>
        <v>1000</v>
      </c>
      <c r="AD13" s="18"/>
      <c r="AE13" s="24"/>
      <c r="AF13" s="20"/>
    </row>
    <row r="14" spans="1:33">
      <c r="A14" s="284"/>
      <c r="B14" s="289"/>
      <c r="C14" s="186"/>
      <c r="D14" s="187"/>
      <c r="E14" s="188"/>
      <c r="F14" s="187"/>
      <c r="G14" s="193"/>
      <c r="H14" s="188"/>
      <c r="I14" s="188"/>
      <c r="J14" s="188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194"/>
      <c r="Y14" s="18" t="s">
        <v>18</v>
      </c>
      <c r="Z14" s="23">
        <f>Summary!AC31</f>
        <v>200</v>
      </c>
      <c r="AA14" s="23">
        <f t="shared" si="1"/>
        <v>0</v>
      </c>
      <c r="AB14" s="26">
        <f t="shared" si="0"/>
        <v>200</v>
      </c>
      <c r="AD14" s="21" t="s">
        <v>132</v>
      </c>
      <c r="AE14" s="19"/>
      <c r="AF14" s="20"/>
    </row>
    <row r="15" spans="1:33">
      <c r="A15" s="284"/>
      <c r="B15" s="289"/>
      <c r="C15" s="186"/>
      <c r="D15" s="187"/>
      <c r="E15" s="188"/>
      <c r="F15" s="187"/>
      <c r="G15" s="193"/>
      <c r="H15" s="188"/>
      <c r="I15" s="188"/>
      <c r="J15" s="188"/>
      <c r="K15" s="188"/>
      <c r="L15" s="188"/>
      <c r="M15" s="188"/>
      <c r="N15" s="188"/>
      <c r="O15" s="193"/>
      <c r="P15" s="187"/>
      <c r="Q15" s="188"/>
      <c r="R15" s="188"/>
      <c r="S15" s="188"/>
      <c r="T15" s="188"/>
      <c r="U15" s="188"/>
      <c r="V15" s="193"/>
      <c r="W15" s="194"/>
      <c r="Y15" s="18" t="s">
        <v>19</v>
      </c>
      <c r="Z15" s="23">
        <f>Summary!AC32</f>
        <v>0</v>
      </c>
      <c r="AA15" s="23">
        <f t="shared" si="1"/>
        <v>0</v>
      </c>
      <c r="AB15" s="26">
        <f t="shared" si="0"/>
        <v>0</v>
      </c>
      <c r="AD15" s="18" t="s">
        <v>49</v>
      </c>
      <c r="AE15" s="23"/>
      <c r="AF15" s="20"/>
    </row>
    <row r="16" spans="1:33">
      <c r="A16" s="284"/>
      <c r="B16" s="289"/>
      <c r="C16" s="186"/>
      <c r="D16" s="187"/>
      <c r="E16" s="188"/>
      <c r="F16" s="187"/>
      <c r="G16" s="193"/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194"/>
      <c r="Y16" s="18" t="s">
        <v>20</v>
      </c>
      <c r="Z16" s="23">
        <f>Summary!AC33</f>
        <v>500</v>
      </c>
      <c r="AA16" s="23">
        <f t="shared" si="1"/>
        <v>0</v>
      </c>
      <c r="AB16" s="26">
        <f t="shared" si="0"/>
        <v>500</v>
      </c>
      <c r="AD16" s="18" t="s">
        <v>50</v>
      </c>
      <c r="AE16" s="23"/>
      <c r="AF16" s="20"/>
    </row>
    <row r="17" spans="1:32">
      <c r="A17" s="284"/>
      <c r="B17" s="289"/>
      <c r="C17" s="186"/>
      <c r="D17" s="187"/>
      <c r="E17" s="188"/>
      <c r="F17" s="187"/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194"/>
      <c r="Y17" s="18" t="s">
        <v>21</v>
      </c>
      <c r="Z17" s="23">
        <f>Summary!AC34</f>
        <v>800</v>
      </c>
      <c r="AA17" s="23">
        <f t="shared" si="1"/>
        <v>0</v>
      </c>
      <c r="AB17" s="26">
        <f t="shared" si="0"/>
        <v>800</v>
      </c>
      <c r="AD17" s="18" t="s">
        <v>131</v>
      </c>
      <c r="AE17" s="23"/>
      <c r="AF17" s="20"/>
    </row>
    <row r="18" spans="1:32">
      <c r="A18" s="284"/>
      <c r="B18" s="288"/>
      <c r="C18" s="186"/>
      <c r="D18" s="187"/>
      <c r="E18" s="188"/>
      <c r="F18" s="187"/>
      <c r="G18" s="193"/>
      <c r="H18" s="188"/>
      <c r="I18" s="188"/>
      <c r="J18" s="188"/>
      <c r="K18" s="188"/>
      <c r="L18" s="188"/>
      <c r="M18" s="188"/>
      <c r="N18" s="188"/>
      <c r="O18" s="193"/>
      <c r="P18" s="187"/>
      <c r="Q18" s="188"/>
      <c r="R18" s="188"/>
      <c r="S18" s="188"/>
      <c r="T18" s="188"/>
      <c r="U18" s="188"/>
      <c r="V18" s="193"/>
      <c r="W18" s="194"/>
      <c r="Y18" s="18" t="s">
        <v>22</v>
      </c>
      <c r="Z18" s="23">
        <f>Summary!AC35</f>
        <v>4100</v>
      </c>
      <c r="AA18" s="23">
        <f t="shared" si="1"/>
        <v>0</v>
      </c>
      <c r="AB18" s="26">
        <f t="shared" si="0"/>
        <v>4100</v>
      </c>
      <c r="AD18" s="18" t="s">
        <v>124</v>
      </c>
      <c r="AE18" s="23"/>
      <c r="AF18" s="20"/>
    </row>
    <row r="19" spans="1:32">
      <c r="A19" s="284"/>
      <c r="B19" s="288"/>
      <c r="C19" s="186"/>
      <c r="D19" s="187"/>
      <c r="E19" s="188"/>
      <c r="F19" s="187"/>
      <c r="G19" s="193"/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194"/>
      <c r="Y19" s="18" t="s">
        <v>23</v>
      </c>
      <c r="Z19" s="23">
        <f>Summary!AC36</f>
        <v>2000</v>
      </c>
      <c r="AA19" s="23">
        <f t="shared" si="1"/>
        <v>0</v>
      </c>
      <c r="AB19" s="26">
        <f t="shared" si="0"/>
        <v>2000</v>
      </c>
      <c r="AD19" s="18" t="s">
        <v>133</v>
      </c>
      <c r="AE19" s="304"/>
      <c r="AF19" s="20"/>
    </row>
    <row r="20" spans="1:32">
      <c r="A20" s="284"/>
      <c r="B20" s="289"/>
      <c r="C20" s="186"/>
      <c r="D20" s="187"/>
      <c r="E20" s="193"/>
      <c r="F20" s="187"/>
      <c r="G20" s="193"/>
      <c r="H20" s="188"/>
      <c r="I20" s="188"/>
      <c r="J20" s="188"/>
      <c r="K20" s="188"/>
      <c r="L20" s="188"/>
      <c r="M20" s="188"/>
      <c r="N20" s="188"/>
      <c r="O20" s="193"/>
      <c r="P20" s="187"/>
      <c r="Q20" s="188"/>
      <c r="R20" s="188"/>
      <c r="S20" s="188"/>
      <c r="T20" s="188"/>
      <c r="U20" s="188"/>
      <c r="V20" s="193"/>
      <c r="W20" s="194"/>
      <c r="Y20" s="18" t="s">
        <v>24</v>
      </c>
      <c r="Z20" s="23">
        <f>Summary!AC37</f>
        <v>500</v>
      </c>
      <c r="AA20" s="23">
        <f t="shared" si="1"/>
        <v>0</v>
      </c>
      <c r="AB20" s="26">
        <f t="shared" si="0"/>
        <v>500</v>
      </c>
      <c r="AD20" s="21" t="s">
        <v>29</v>
      </c>
      <c r="AE20" s="640">
        <f>SUM(AE13:AE19)</f>
        <v>0</v>
      </c>
      <c r="AF20" s="20"/>
    </row>
    <row r="21" spans="1:32">
      <c r="A21" s="284"/>
      <c r="B21" s="289"/>
      <c r="C21" s="186"/>
      <c r="D21" s="187"/>
      <c r="E21" s="193"/>
      <c r="F21" s="187"/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194"/>
      <c r="Y21" s="18" t="s">
        <v>25</v>
      </c>
      <c r="Z21" s="23">
        <f>Summary!AC38</f>
        <v>500</v>
      </c>
      <c r="AA21" s="23">
        <f t="shared" si="1"/>
        <v>0</v>
      </c>
      <c r="AB21" s="26">
        <f t="shared" si="0"/>
        <v>500</v>
      </c>
      <c r="AD21" s="21"/>
      <c r="AE21"/>
      <c r="AF21" s="20"/>
    </row>
    <row r="22" spans="1:32">
      <c r="A22" s="284"/>
      <c r="B22" s="289"/>
      <c r="C22" s="186"/>
      <c r="D22" s="187"/>
      <c r="E22" s="193"/>
      <c r="F22" s="187"/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194"/>
      <c r="Y22" s="18" t="s">
        <v>26</v>
      </c>
      <c r="Z22" s="23">
        <f>Summary!AC39</f>
        <v>1000</v>
      </c>
      <c r="AA22" s="23">
        <f t="shared" si="1"/>
        <v>0</v>
      </c>
      <c r="AB22" s="26">
        <f>Z22+AA22</f>
        <v>1000</v>
      </c>
      <c r="AD22" s="21"/>
      <c r="AE22"/>
      <c r="AF22" s="20"/>
    </row>
    <row r="23" spans="1:32">
      <c r="A23" s="284"/>
      <c r="B23" s="289"/>
      <c r="C23" s="186"/>
      <c r="D23" s="187"/>
      <c r="E23" s="193"/>
      <c r="F23" s="187"/>
      <c r="G23" s="193"/>
      <c r="H23" s="188"/>
      <c r="I23" s="188"/>
      <c r="J23" s="188"/>
      <c r="K23" s="188"/>
      <c r="L23" s="188"/>
      <c r="M23" s="188"/>
      <c r="N23" s="188"/>
      <c r="O23" s="193"/>
      <c r="P23" s="187"/>
      <c r="Q23" s="188"/>
      <c r="R23" s="188"/>
      <c r="S23" s="188"/>
      <c r="T23" s="188"/>
      <c r="U23" s="188"/>
      <c r="V23" s="188"/>
      <c r="W23" s="191"/>
      <c r="Y23" s="18" t="s">
        <v>27</v>
      </c>
      <c r="Z23" s="23">
        <f>Summary!AC40</f>
        <v>0</v>
      </c>
      <c r="AA23" s="23">
        <f t="shared" si="1"/>
        <v>0</v>
      </c>
      <c r="AB23" s="26">
        <f>Z23+AA23</f>
        <v>0</v>
      </c>
      <c r="AD23" s="124"/>
      <c r="AE23"/>
      <c r="AF23" s="125"/>
    </row>
    <row r="24" spans="1:32">
      <c r="A24" s="284"/>
      <c r="B24" s="289"/>
      <c r="C24" s="186"/>
      <c r="D24" s="187"/>
      <c r="E24" s="193"/>
      <c r="F24" s="187"/>
      <c r="G24" s="193"/>
      <c r="H24" s="188"/>
      <c r="I24" s="188"/>
      <c r="J24" s="188"/>
      <c r="K24" s="188"/>
      <c r="L24" s="188"/>
      <c r="M24" s="188"/>
      <c r="N24" s="188"/>
      <c r="O24" s="193"/>
      <c r="P24" s="187"/>
      <c r="Q24" s="188"/>
      <c r="R24" s="188"/>
      <c r="S24" s="188"/>
      <c r="T24" s="188"/>
      <c r="U24" s="188"/>
      <c r="V24" s="188"/>
      <c r="W24" s="191"/>
      <c r="Y24" s="18" t="s">
        <v>28</v>
      </c>
      <c r="Z24" s="23">
        <f>Summary!AC41</f>
        <v>800</v>
      </c>
      <c r="AA24" s="23">
        <f t="shared" si="1"/>
        <v>0</v>
      </c>
      <c r="AB24" s="26">
        <f>Z24+AA24</f>
        <v>800</v>
      </c>
      <c r="AD24" s="124"/>
      <c r="AE24"/>
      <c r="AF24" s="125"/>
    </row>
    <row r="25" spans="1:32">
      <c r="A25" s="284"/>
      <c r="B25" s="289"/>
      <c r="C25" s="186"/>
      <c r="D25" s="187"/>
      <c r="E25" s="193"/>
      <c r="F25" s="187"/>
      <c r="G25" s="193"/>
      <c r="H25" s="188"/>
      <c r="I25" s="188"/>
      <c r="J25" s="188"/>
      <c r="K25" s="188"/>
      <c r="L25" s="188"/>
      <c r="M25" s="188"/>
      <c r="N25" s="188"/>
      <c r="O25" s="193"/>
      <c r="P25" s="187"/>
      <c r="Q25" s="188"/>
      <c r="R25" s="188"/>
      <c r="S25" s="188"/>
      <c r="T25" s="188"/>
      <c r="U25" s="188"/>
      <c r="V25" s="188"/>
      <c r="W25" s="191"/>
      <c r="Y25" s="18"/>
      <c r="Z25" s="23"/>
      <c r="AA25" s="23"/>
      <c r="AB25" s="26"/>
      <c r="AD25" s="124"/>
      <c r="AE25"/>
      <c r="AF25" s="125"/>
    </row>
    <row r="26" spans="1:32">
      <c r="A26" s="284"/>
      <c r="B26" s="289"/>
      <c r="C26" s="186"/>
      <c r="D26" s="187"/>
      <c r="E26" s="193"/>
      <c r="F26" s="187"/>
      <c r="G26" s="193"/>
      <c r="H26" s="188"/>
      <c r="I26" s="188"/>
      <c r="J26" s="188"/>
      <c r="K26" s="188"/>
      <c r="L26" s="188"/>
      <c r="M26" s="188"/>
      <c r="N26" s="188"/>
      <c r="O26" s="193"/>
      <c r="P26" s="187"/>
      <c r="Q26" s="188"/>
      <c r="R26" s="188"/>
      <c r="S26" s="188"/>
      <c r="T26" s="188"/>
      <c r="U26" s="188"/>
      <c r="V26" s="188"/>
      <c r="W26" s="191"/>
      <c r="Y26" s="18"/>
      <c r="Z26" s="23"/>
      <c r="AA26" s="23"/>
      <c r="AB26" s="26"/>
      <c r="AD26" s="124"/>
      <c r="AE26"/>
      <c r="AF26" s="125"/>
    </row>
    <row r="27" spans="1:32">
      <c r="A27" s="284"/>
      <c r="B27" s="289"/>
      <c r="C27" s="186"/>
      <c r="D27" s="187"/>
      <c r="E27" s="193"/>
      <c r="F27" s="187"/>
      <c r="G27" s="193"/>
      <c r="H27" s="188"/>
      <c r="I27" s="188"/>
      <c r="J27" s="188"/>
      <c r="K27" s="188"/>
      <c r="L27" s="188"/>
      <c r="M27" s="188"/>
      <c r="N27" s="188"/>
      <c r="O27" s="193"/>
      <c r="P27" s="187"/>
      <c r="Q27" s="188"/>
      <c r="R27" s="188"/>
      <c r="S27" s="188"/>
      <c r="T27" s="188"/>
      <c r="U27" s="188"/>
      <c r="V27" s="188"/>
      <c r="W27" s="191"/>
      <c r="Y27" s="18"/>
      <c r="Z27" s="23"/>
      <c r="AA27" s="23"/>
      <c r="AB27" s="26"/>
      <c r="AD27" s="124"/>
      <c r="AE27"/>
      <c r="AF27" s="125"/>
    </row>
    <row r="28" spans="1:32">
      <c r="A28" s="284"/>
      <c r="B28" s="289"/>
      <c r="C28" s="186"/>
      <c r="D28" s="187"/>
      <c r="E28" s="193"/>
      <c r="F28" s="187"/>
      <c r="G28" s="193"/>
      <c r="H28" s="188"/>
      <c r="I28" s="188"/>
      <c r="J28" s="188"/>
      <c r="K28" s="188"/>
      <c r="L28" s="188"/>
      <c r="M28" s="188"/>
      <c r="N28" s="188"/>
      <c r="O28" s="193"/>
      <c r="P28" s="187"/>
      <c r="Q28" s="188"/>
      <c r="R28" s="188"/>
      <c r="S28" s="188"/>
      <c r="T28" s="188"/>
      <c r="U28" s="188"/>
      <c r="V28" s="188"/>
      <c r="W28" s="191"/>
      <c r="Y28" s="18"/>
      <c r="Z28" s="23"/>
      <c r="AA28" s="23"/>
      <c r="AB28" s="26"/>
      <c r="AD28" s="124"/>
      <c r="AE28"/>
      <c r="AF28" s="125"/>
    </row>
    <row r="29" spans="1:32">
      <c r="A29" s="284"/>
      <c r="B29" s="289"/>
      <c r="C29" s="186"/>
      <c r="D29" s="187"/>
      <c r="E29" s="193"/>
      <c r="F29" s="187"/>
      <c r="G29" s="193"/>
      <c r="H29" s="188"/>
      <c r="I29" s="188"/>
      <c r="J29" s="188"/>
      <c r="K29" s="188"/>
      <c r="L29" s="188"/>
      <c r="M29" s="188"/>
      <c r="N29" s="188"/>
      <c r="O29" s="193"/>
      <c r="P29" s="187"/>
      <c r="Q29" s="188"/>
      <c r="R29" s="188"/>
      <c r="S29" s="188"/>
      <c r="T29" s="188"/>
      <c r="U29" s="188"/>
      <c r="V29" s="188"/>
      <c r="W29" s="191"/>
      <c r="Y29" s="18"/>
      <c r="Z29" s="23"/>
      <c r="AA29" s="23"/>
      <c r="AB29" s="26"/>
      <c r="AD29" s="124"/>
      <c r="AE29"/>
      <c r="AF29" s="125"/>
    </row>
    <row r="30" spans="1:32">
      <c r="A30" s="284"/>
      <c r="B30" s="288"/>
      <c r="C30" s="186"/>
      <c r="D30" s="187"/>
      <c r="E30" s="193"/>
      <c r="F30" s="187"/>
      <c r="G30" s="193"/>
      <c r="H30" s="188"/>
      <c r="I30" s="188"/>
      <c r="J30" s="188"/>
      <c r="K30" s="188"/>
      <c r="L30" s="188"/>
      <c r="M30" s="188"/>
      <c r="N30" s="188"/>
      <c r="O30" s="188"/>
      <c r="P30" s="187"/>
      <c r="Q30" s="188"/>
      <c r="R30" s="188"/>
      <c r="S30" s="188"/>
      <c r="T30" s="188"/>
      <c r="U30" s="188"/>
      <c r="V30" s="193"/>
      <c r="W30" s="194"/>
      <c r="Y30" s="18"/>
      <c r="Z30" s="23"/>
      <c r="AA30" s="23"/>
      <c r="AB30" s="26"/>
      <c r="AD30" s="124"/>
      <c r="AE30"/>
      <c r="AF30" s="125"/>
    </row>
    <row r="31" spans="1:32">
      <c r="A31" s="284"/>
      <c r="B31" s="288"/>
      <c r="C31" s="186"/>
      <c r="D31" s="187"/>
      <c r="E31" s="193"/>
      <c r="F31" s="187"/>
      <c r="G31" s="193"/>
      <c r="H31" s="188"/>
      <c r="I31" s="188"/>
      <c r="J31" s="188"/>
      <c r="K31" s="188"/>
      <c r="L31" s="188"/>
      <c r="M31" s="188"/>
      <c r="N31" s="188"/>
      <c r="O31" s="188"/>
      <c r="P31" s="187"/>
      <c r="Q31" s="188"/>
      <c r="R31" s="188"/>
      <c r="S31" s="188"/>
      <c r="T31" s="188"/>
      <c r="U31" s="188"/>
      <c r="V31" s="193"/>
      <c r="W31" s="194"/>
      <c r="Y31" s="18"/>
      <c r="Z31" s="23"/>
      <c r="AA31" s="23"/>
      <c r="AB31" s="26"/>
      <c r="AD31" s="124"/>
      <c r="AE31"/>
      <c r="AF31" s="125"/>
    </row>
    <row r="32" spans="1:32">
      <c r="A32" s="284"/>
      <c r="B32" s="288"/>
      <c r="C32" s="186"/>
      <c r="D32" s="187"/>
      <c r="E32" s="193"/>
      <c r="F32" s="187"/>
      <c r="G32" s="193"/>
      <c r="H32" s="188"/>
      <c r="I32" s="188"/>
      <c r="J32" s="188"/>
      <c r="K32" s="188"/>
      <c r="L32" s="188"/>
      <c r="M32" s="188"/>
      <c r="N32" s="188"/>
      <c r="O32" s="188"/>
      <c r="P32" s="187"/>
      <c r="Q32" s="188"/>
      <c r="R32" s="188"/>
      <c r="S32" s="188"/>
      <c r="T32" s="188"/>
      <c r="U32" s="188"/>
      <c r="V32" s="193"/>
      <c r="W32" s="194"/>
      <c r="Y32" s="18"/>
      <c r="Z32" s="23"/>
      <c r="AA32" s="23"/>
      <c r="AB32" s="26"/>
      <c r="AD32" s="124"/>
      <c r="AE32"/>
      <c r="AF32" s="125"/>
    </row>
    <row r="33" spans="1:32">
      <c r="A33" s="284"/>
      <c r="B33" s="288"/>
      <c r="C33" s="186"/>
      <c r="D33" s="187"/>
      <c r="E33" s="193"/>
      <c r="F33" s="187"/>
      <c r="G33" s="193"/>
      <c r="H33" s="188"/>
      <c r="I33" s="188"/>
      <c r="J33" s="188"/>
      <c r="K33" s="188"/>
      <c r="L33" s="188"/>
      <c r="M33" s="188"/>
      <c r="N33" s="188"/>
      <c r="O33" s="188"/>
      <c r="P33" s="187"/>
      <c r="Q33" s="188"/>
      <c r="R33" s="188"/>
      <c r="S33" s="188"/>
      <c r="T33" s="188"/>
      <c r="U33" s="188"/>
      <c r="V33" s="193"/>
      <c r="W33" s="194"/>
      <c r="Y33" s="18"/>
      <c r="Z33" s="23"/>
      <c r="AA33" s="23"/>
      <c r="AB33" s="26"/>
      <c r="AD33" s="124"/>
      <c r="AE33"/>
      <c r="AF33" s="125"/>
    </row>
    <row r="34" spans="1:32">
      <c r="A34" s="284"/>
      <c r="B34" s="288"/>
      <c r="C34" s="186"/>
      <c r="D34" s="187"/>
      <c r="E34" s="193"/>
      <c r="F34" s="187"/>
      <c r="G34" s="193"/>
      <c r="H34" s="188"/>
      <c r="I34" s="188"/>
      <c r="J34" s="188"/>
      <c r="K34" s="188"/>
      <c r="L34" s="188"/>
      <c r="M34" s="188"/>
      <c r="N34" s="188"/>
      <c r="O34" s="188"/>
      <c r="P34" s="187"/>
      <c r="Q34" s="188"/>
      <c r="R34" s="188"/>
      <c r="S34" s="188"/>
      <c r="T34" s="188"/>
      <c r="U34" s="188"/>
      <c r="V34" s="193"/>
      <c r="W34" s="194"/>
      <c r="Y34" s="18"/>
      <c r="Z34" s="23"/>
      <c r="AA34" s="23"/>
      <c r="AB34" s="26"/>
      <c r="AD34" s="124"/>
      <c r="AE34"/>
      <c r="AF34" s="125"/>
    </row>
    <row r="35" spans="1:32">
      <c r="A35" s="284"/>
      <c r="B35" s="288"/>
      <c r="C35" s="186"/>
      <c r="D35" s="187"/>
      <c r="E35" s="193"/>
      <c r="F35" s="187"/>
      <c r="G35" s="193"/>
      <c r="H35" s="188"/>
      <c r="I35" s="188"/>
      <c r="J35" s="188"/>
      <c r="K35" s="188"/>
      <c r="L35" s="188"/>
      <c r="M35" s="188"/>
      <c r="N35" s="188"/>
      <c r="O35" s="188"/>
      <c r="P35" s="187"/>
      <c r="Q35" s="188"/>
      <c r="R35" s="188"/>
      <c r="S35" s="188"/>
      <c r="T35" s="188"/>
      <c r="U35" s="188"/>
      <c r="V35" s="193"/>
      <c r="W35" s="194"/>
      <c r="Y35" s="18"/>
      <c r="Z35" s="23"/>
      <c r="AA35" s="23"/>
      <c r="AB35" s="26"/>
      <c r="AD35" s="124"/>
      <c r="AE35"/>
      <c r="AF35" s="125"/>
    </row>
    <row r="36" spans="1:32">
      <c r="A36" s="284"/>
      <c r="B36" s="288"/>
      <c r="C36" s="186"/>
      <c r="D36" s="187"/>
      <c r="E36" s="193"/>
      <c r="F36" s="187"/>
      <c r="G36" s="193"/>
      <c r="H36" s="188"/>
      <c r="I36" s="188"/>
      <c r="J36" s="188"/>
      <c r="K36" s="188"/>
      <c r="L36" s="188"/>
      <c r="M36" s="188"/>
      <c r="N36" s="188"/>
      <c r="O36" s="188"/>
      <c r="P36" s="187"/>
      <c r="Q36" s="188"/>
      <c r="R36" s="188"/>
      <c r="S36" s="188"/>
      <c r="T36" s="188"/>
      <c r="U36" s="188"/>
      <c r="V36" s="193"/>
      <c r="W36" s="194"/>
      <c r="Y36" s="18"/>
      <c r="Z36" s="23"/>
      <c r="AA36" s="23"/>
      <c r="AB36" s="26"/>
      <c r="AD36" s="124"/>
      <c r="AE36"/>
      <c r="AF36" s="125"/>
    </row>
    <row r="37" spans="1:32">
      <c r="A37" s="284"/>
      <c r="B37" s="289"/>
      <c r="C37" s="186"/>
      <c r="D37" s="187"/>
      <c r="E37" s="193"/>
      <c r="F37" s="187"/>
      <c r="G37" s="193"/>
      <c r="H37" s="188"/>
      <c r="I37" s="188"/>
      <c r="J37" s="188"/>
      <c r="K37" s="188"/>
      <c r="L37" s="188"/>
      <c r="M37" s="188"/>
      <c r="N37" s="188"/>
      <c r="O37" s="188"/>
      <c r="P37" s="187"/>
      <c r="Q37" s="188"/>
      <c r="R37" s="188"/>
      <c r="S37" s="188"/>
      <c r="T37" s="188"/>
      <c r="U37" s="188"/>
      <c r="V37" s="193"/>
      <c r="W37" s="194"/>
      <c r="Y37" s="18"/>
      <c r="Z37" s="23"/>
      <c r="AA37" s="23"/>
      <c r="AB37" s="26"/>
      <c r="AD37" s="124"/>
      <c r="AE37"/>
      <c r="AF37" s="125"/>
    </row>
    <row r="38" spans="1:32">
      <c r="A38" s="284"/>
      <c r="B38" s="289"/>
      <c r="C38" s="186"/>
      <c r="D38" s="187"/>
      <c r="E38" s="193"/>
      <c r="F38" s="187"/>
      <c r="G38" s="193"/>
      <c r="H38" s="188"/>
      <c r="I38" s="188"/>
      <c r="J38" s="188"/>
      <c r="K38" s="188"/>
      <c r="L38" s="188"/>
      <c r="M38" s="188"/>
      <c r="N38" s="188"/>
      <c r="O38" s="188"/>
      <c r="P38" s="187"/>
      <c r="Q38" s="188"/>
      <c r="R38" s="188"/>
      <c r="S38" s="188"/>
      <c r="T38" s="188"/>
      <c r="U38" s="188"/>
      <c r="V38" s="193"/>
      <c r="W38" s="194"/>
      <c r="Y38" s="18"/>
      <c r="Z38" s="23"/>
      <c r="AA38" s="23"/>
      <c r="AB38" s="26"/>
      <c r="AD38" s="124"/>
      <c r="AE38"/>
      <c r="AF38" s="125"/>
    </row>
    <row r="39" spans="1:32">
      <c r="A39" s="284"/>
      <c r="B39" s="289"/>
      <c r="C39" s="299"/>
      <c r="D39" s="188"/>
      <c r="E39" s="193"/>
      <c r="F39" s="187"/>
      <c r="G39" s="193"/>
      <c r="H39" s="188"/>
      <c r="I39" s="188"/>
      <c r="J39" s="188"/>
      <c r="K39" s="188"/>
      <c r="L39" s="188"/>
      <c r="M39" s="188"/>
      <c r="N39" s="188"/>
      <c r="O39" s="188"/>
      <c r="P39" s="187"/>
      <c r="Q39" s="188"/>
      <c r="R39" s="188"/>
      <c r="S39" s="188"/>
      <c r="T39" s="188"/>
      <c r="U39" s="188"/>
      <c r="V39" s="193"/>
      <c r="W39" s="194"/>
      <c r="Y39" s="18"/>
      <c r="Z39" s="23"/>
      <c r="AA39" s="23"/>
      <c r="AB39" s="26"/>
      <c r="AD39" s="124"/>
      <c r="AE39"/>
      <c r="AF39" s="125"/>
    </row>
    <row r="40" spans="1:32">
      <c r="A40" s="285"/>
      <c r="B40" s="102"/>
      <c r="C40" s="199"/>
      <c r="D40" s="200"/>
      <c r="E40" s="202"/>
      <c r="F40" s="200"/>
      <c r="G40" s="202"/>
      <c r="H40" s="201"/>
      <c r="I40" s="201"/>
      <c r="J40" s="201"/>
      <c r="K40" s="201"/>
      <c r="L40" s="201"/>
      <c r="M40" s="201"/>
      <c r="N40" s="201"/>
      <c r="O40" s="201"/>
      <c r="P40" s="200"/>
      <c r="Q40" s="201"/>
      <c r="R40" s="201"/>
      <c r="S40" s="201"/>
      <c r="T40" s="201"/>
      <c r="U40" s="201"/>
      <c r="V40" s="202"/>
      <c r="W40" s="205"/>
      <c r="Y40" s="18"/>
      <c r="Z40" s="23"/>
      <c r="AA40" s="23"/>
      <c r="AB40" s="26"/>
      <c r="AD40" s="124"/>
      <c r="AE40"/>
      <c r="AF40" s="125"/>
    </row>
    <row r="41" spans="1:32">
      <c r="A41" s="286"/>
      <c r="B41" s="290"/>
      <c r="C41" s="145"/>
      <c r="D41" s="147"/>
      <c r="E41" s="149"/>
      <c r="F41" s="147"/>
      <c r="G41" s="149"/>
      <c r="H41" s="148"/>
      <c r="I41" s="148"/>
      <c r="J41" s="148"/>
      <c r="K41" s="148"/>
      <c r="L41" s="148"/>
      <c r="M41" s="148"/>
      <c r="N41" s="148"/>
      <c r="O41" s="148"/>
      <c r="P41" s="147"/>
      <c r="Q41" s="148"/>
      <c r="R41" s="148"/>
      <c r="S41" s="148"/>
      <c r="T41" s="148"/>
      <c r="U41" s="148"/>
      <c r="V41" s="149"/>
      <c r="W41" s="150"/>
      <c r="Y41" s="18"/>
      <c r="Z41" s="23"/>
      <c r="AA41" s="23"/>
      <c r="AB41" s="26"/>
      <c r="AD41" s="124"/>
      <c r="AE41"/>
      <c r="AF41" s="125"/>
    </row>
    <row r="42" spans="1:32">
      <c r="A42" s="31" t="s">
        <v>134</v>
      </c>
      <c r="B42" s="31"/>
      <c r="C42" s="146"/>
      <c r="D42" s="300">
        <f t="shared" ref="D42:AF42" si="2">SUM(D3:D41)</f>
        <v>0</v>
      </c>
      <c r="E42" s="300">
        <f t="shared" si="2"/>
        <v>0</v>
      </c>
      <c r="F42" s="301">
        <f t="shared" si="2"/>
        <v>0</v>
      </c>
      <c r="G42" s="301">
        <f t="shared" si="2"/>
        <v>0</v>
      </c>
      <c r="H42" s="300">
        <f t="shared" si="2"/>
        <v>0</v>
      </c>
      <c r="I42" s="300">
        <f t="shared" si="2"/>
        <v>0</v>
      </c>
      <c r="J42" s="300">
        <f t="shared" si="2"/>
        <v>0</v>
      </c>
      <c r="K42" s="300">
        <f t="shared" si="2"/>
        <v>0</v>
      </c>
      <c r="L42" s="300">
        <f t="shared" si="2"/>
        <v>0</v>
      </c>
      <c r="M42" s="300">
        <f t="shared" si="2"/>
        <v>0</v>
      </c>
      <c r="N42" s="300">
        <f t="shared" si="2"/>
        <v>0</v>
      </c>
      <c r="O42" s="300">
        <f t="shared" si="2"/>
        <v>0</v>
      </c>
      <c r="P42" s="300">
        <f t="shared" si="2"/>
        <v>0</v>
      </c>
      <c r="Q42" s="300">
        <f t="shared" si="2"/>
        <v>0</v>
      </c>
      <c r="R42" s="300">
        <f t="shared" si="2"/>
        <v>0</v>
      </c>
      <c r="S42" s="300">
        <f t="shared" si="2"/>
        <v>0</v>
      </c>
      <c r="T42" s="300">
        <f t="shared" si="2"/>
        <v>0</v>
      </c>
      <c r="U42" s="300">
        <f t="shared" si="2"/>
        <v>0</v>
      </c>
      <c r="V42" s="300">
        <f t="shared" si="2"/>
        <v>0</v>
      </c>
      <c r="W42" s="196">
        <f t="shared" si="2"/>
        <v>0</v>
      </c>
      <c r="Y42" s="196">
        <f t="shared" si="2"/>
        <v>0</v>
      </c>
      <c r="Z42" s="196">
        <f t="shared" si="2"/>
        <v>14675</v>
      </c>
      <c r="AA42" s="196">
        <f t="shared" si="2"/>
        <v>0</v>
      </c>
      <c r="AB42" s="196">
        <f t="shared" si="2"/>
        <v>14675</v>
      </c>
      <c r="AC42" s="196"/>
      <c r="AD42" s="196"/>
      <c r="AE42" s="196"/>
      <c r="AF42" s="196"/>
    </row>
    <row r="43" spans="1:32" customFormat="1"/>
    <row r="44" spans="1:32" customFormat="1"/>
    <row r="45" spans="1:32">
      <c r="A45" s="31"/>
      <c r="B45" s="31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Y45" s="31"/>
      <c r="Z45" s="95"/>
      <c r="AA45" s="95"/>
      <c r="AB45" s="95"/>
      <c r="AD45" s="31"/>
      <c r="AE45" s="24"/>
    </row>
    <row r="46" spans="1:32">
      <c r="A46" s="31"/>
      <c r="B46" s="31"/>
      <c r="C46"/>
      <c r="D46"/>
      <c r="E46"/>
      <c r="H46"/>
      <c r="I46"/>
      <c r="J46"/>
      <c r="K46"/>
      <c r="L46"/>
      <c r="M46"/>
      <c r="Q46" s="111"/>
      <c r="R46" s="96"/>
      <c r="S46" s="96"/>
      <c r="T46" s="96"/>
      <c r="U46" s="96"/>
      <c r="W46" s="641">
        <f>SUM(D44:W44)</f>
        <v>0</v>
      </c>
      <c r="Z46" s="95"/>
      <c r="AA46" s="95"/>
      <c r="AB46" s="95"/>
      <c r="AD46" s="31"/>
      <c r="AE46" s="24"/>
    </row>
    <row r="47" spans="1:32">
      <c r="A47"/>
      <c r="B47"/>
      <c r="C47"/>
      <c r="D47"/>
      <c r="E47"/>
      <c r="H47"/>
      <c r="I47"/>
      <c r="K47"/>
      <c r="L47"/>
      <c r="M47" s="134"/>
      <c r="N47"/>
      <c r="O47"/>
      <c r="P47"/>
      <c r="Q47"/>
      <c r="W47" s="281"/>
    </row>
    <row r="48" spans="1:32">
      <c r="A48"/>
      <c r="B48"/>
      <c r="C48"/>
      <c r="D48"/>
      <c r="E48"/>
      <c r="H48"/>
      <c r="I48"/>
      <c r="K48"/>
      <c r="L48"/>
      <c r="M48"/>
      <c r="N48"/>
      <c r="O48"/>
      <c r="P48"/>
      <c r="Q48"/>
      <c r="V48" s="35"/>
      <c r="W48" s="282"/>
      <c r="X48" s="37"/>
      <c r="Y48" s="38" t="s">
        <v>135</v>
      </c>
    </row>
    <row r="49" spans="1:34">
      <c r="A49"/>
      <c r="B49"/>
      <c r="C49"/>
      <c r="D49"/>
      <c r="E49"/>
      <c r="H49"/>
      <c r="I49"/>
      <c r="L49"/>
      <c r="M49"/>
      <c r="N49"/>
      <c r="O49"/>
      <c r="P49"/>
      <c r="Q49"/>
      <c r="V49" s="204" t="s">
        <v>136</v>
      </c>
      <c r="W49" s="279">
        <f>SUM(H44:O44)</f>
        <v>0</v>
      </c>
      <c r="X49" s="37"/>
      <c r="Y49" s="41" t="e">
        <f>W49/W52</f>
        <v>#DIV/0!</v>
      </c>
    </row>
    <row r="50" spans="1:34">
      <c r="A50"/>
      <c r="B50"/>
      <c r="C50"/>
      <c r="D50"/>
      <c r="E50"/>
      <c r="H50"/>
      <c r="I50"/>
      <c r="J50"/>
      <c r="K50"/>
      <c r="L50"/>
      <c r="M50"/>
      <c r="N50"/>
      <c r="O50"/>
      <c r="P50"/>
      <c r="Q50"/>
      <c r="V50" s="204" t="s">
        <v>137</v>
      </c>
      <c r="W50" s="279">
        <f>SUM(P44:W44)</f>
        <v>0</v>
      </c>
      <c r="X50" s="37"/>
      <c r="Y50" s="41" t="e">
        <f>W50/W52</f>
        <v>#DIV/0!</v>
      </c>
      <c r="AH50"/>
    </row>
    <row r="51" spans="1:34">
      <c r="A51"/>
      <c r="B51"/>
      <c r="C51"/>
      <c r="D51"/>
      <c r="E51"/>
      <c r="H51"/>
      <c r="I51"/>
      <c r="J51"/>
      <c r="K51"/>
      <c r="L51"/>
      <c r="M51"/>
      <c r="N51"/>
      <c r="P51"/>
      <c r="Q51"/>
      <c r="V51" s="204" t="s">
        <v>138</v>
      </c>
      <c r="W51" s="280">
        <f>E44+D44</f>
        <v>0</v>
      </c>
      <c r="X51" s="37"/>
      <c r="Y51" s="41" t="e">
        <f>W51/W52</f>
        <v>#DIV/0!</v>
      </c>
    </row>
    <row r="52" spans="1:34">
      <c r="A52"/>
      <c r="B52"/>
      <c r="C52"/>
      <c r="D52"/>
      <c r="H52" s="2"/>
      <c r="I52" s="2"/>
      <c r="J52" s="2"/>
      <c r="K52"/>
      <c r="L52"/>
      <c r="M52"/>
      <c r="N52"/>
      <c r="O52"/>
      <c r="P52"/>
      <c r="Q52"/>
      <c r="V52" s="204" t="s">
        <v>56</v>
      </c>
      <c r="W52" s="642">
        <f>SUM(W49:W51)</f>
        <v>0</v>
      </c>
      <c r="X52" s="37"/>
      <c r="Y52" s="43"/>
    </row>
    <row r="53" spans="1:34">
      <c r="A53"/>
      <c r="B53"/>
      <c r="C53"/>
      <c r="D53"/>
      <c r="H53" s="2"/>
      <c r="I53" s="2"/>
      <c r="J53" s="2"/>
      <c r="K53"/>
      <c r="L53"/>
      <c r="M53"/>
      <c r="N53"/>
      <c r="O53"/>
      <c r="P53"/>
      <c r="Q53"/>
      <c r="V53" s="35"/>
      <c r="W53" s="36"/>
      <c r="X53" s="37"/>
      <c r="Y53" s="37"/>
    </row>
    <row r="54" spans="1:34">
      <c r="A54"/>
      <c r="B54"/>
      <c r="C54"/>
      <c r="D54"/>
      <c r="H54" s="2"/>
      <c r="I54" s="2"/>
      <c r="J54" s="2"/>
      <c r="K54"/>
      <c r="L54"/>
      <c r="M54"/>
      <c r="N54"/>
      <c r="O54"/>
      <c r="P54"/>
      <c r="Q54"/>
      <c r="V54" s="35"/>
      <c r="W54" s="44">
        <f>W52-W46</f>
        <v>0</v>
      </c>
      <c r="X54" s="37"/>
      <c r="Y54" s="37"/>
    </row>
    <row r="55" spans="1:34">
      <c r="A55"/>
      <c r="B55"/>
      <c r="C55"/>
      <c r="D55"/>
      <c r="H55" s="2"/>
      <c r="I55" s="2"/>
      <c r="J55" s="2"/>
      <c r="K55"/>
      <c r="L55"/>
      <c r="M55"/>
      <c r="N55"/>
      <c r="O55"/>
      <c r="P55"/>
      <c r="Q55"/>
      <c r="V55" s="2"/>
      <c r="W55" s="2"/>
    </row>
    <row r="56" spans="1:34">
      <c r="A56"/>
      <c r="B56"/>
      <c r="C56"/>
      <c r="D56"/>
      <c r="H56" s="2"/>
      <c r="I56" s="2"/>
      <c r="J56" s="2"/>
      <c r="K56"/>
      <c r="L56"/>
      <c r="M56"/>
      <c r="N56"/>
      <c r="O56"/>
      <c r="P56"/>
      <c r="Q56"/>
      <c r="V56" s="2"/>
      <c r="W56" s="2"/>
    </row>
    <row r="57" spans="1:34">
      <c r="A57"/>
      <c r="B57"/>
      <c r="C57"/>
      <c r="D57"/>
      <c r="K57"/>
      <c r="L57"/>
      <c r="M57"/>
      <c r="N57"/>
      <c r="O57"/>
      <c r="P57"/>
      <c r="Q57"/>
      <c r="V57" s="2"/>
      <c r="W57" s="2"/>
    </row>
    <row r="58" spans="1:34">
      <c r="A58"/>
      <c r="B58"/>
      <c r="C58"/>
      <c r="K58"/>
      <c r="L58"/>
      <c r="M58"/>
      <c r="N58"/>
      <c r="O58"/>
      <c r="P58"/>
      <c r="Q58"/>
    </row>
    <row r="59" spans="1:34">
      <c r="A59"/>
      <c r="B59"/>
      <c r="C59"/>
      <c r="K59"/>
      <c r="L59"/>
      <c r="M59"/>
      <c r="N59"/>
      <c r="O59"/>
      <c r="P59"/>
      <c r="Q59"/>
    </row>
    <row r="60" spans="1:34">
      <c r="A60"/>
      <c r="B60"/>
      <c r="C60"/>
      <c r="K60"/>
      <c r="L60"/>
      <c r="M60"/>
      <c r="N60"/>
      <c r="O60"/>
      <c r="P60"/>
      <c r="Q60"/>
    </row>
    <row r="61" spans="1:34">
      <c r="A61"/>
      <c r="B61"/>
      <c r="C61"/>
      <c r="K61"/>
      <c r="L61"/>
      <c r="M61"/>
      <c r="N61"/>
      <c r="O61"/>
      <c r="P61"/>
      <c r="Q61"/>
    </row>
    <row r="62" spans="1:34">
      <c r="A62"/>
      <c r="B62"/>
      <c r="K62"/>
      <c r="L62"/>
      <c r="M62"/>
      <c r="N62"/>
      <c r="O62"/>
      <c r="P62"/>
      <c r="Q62"/>
    </row>
    <row r="63" spans="1:34">
      <c r="A63"/>
      <c r="B63"/>
      <c r="K63"/>
      <c r="L63"/>
      <c r="M63"/>
      <c r="N63"/>
      <c r="O63"/>
      <c r="P63"/>
      <c r="Q63"/>
    </row>
    <row r="64" spans="1:34">
      <c r="A64"/>
      <c r="B64"/>
      <c r="G64"/>
      <c r="H64"/>
      <c r="I64"/>
      <c r="J64"/>
      <c r="K64"/>
      <c r="L64"/>
      <c r="M64"/>
      <c r="N64"/>
      <c r="O64"/>
      <c r="P64"/>
      <c r="Q64"/>
    </row>
    <row r="65" spans="1:17">
      <c r="A65"/>
      <c r="B65"/>
      <c r="C65"/>
      <c r="G65"/>
      <c r="H65"/>
      <c r="J65"/>
      <c r="K65"/>
      <c r="L65"/>
      <c r="M65"/>
      <c r="N65"/>
      <c r="O65"/>
      <c r="P65"/>
      <c r="Q65"/>
    </row>
    <row r="66" spans="1:17">
      <c r="A66"/>
      <c r="B66"/>
      <c r="G66"/>
      <c r="H66"/>
      <c r="J66"/>
      <c r="K66"/>
      <c r="L66"/>
      <c r="M66"/>
      <c r="N66"/>
      <c r="O66"/>
      <c r="P66"/>
      <c r="Q66"/>
    </row>
    <row r="67" spans="1:17">
      <c r="A67"/>
      <c r="B67"/>
      <c r="G67"/>
      <c r="H67"/>
      <c r="J67"/>
      <c r="K67"/>
      <c r="L67"/>
      <c r="M67"/>
      <c r="N67"/>
      <c r="O67"/>
      <c r="P67"/>
      <c r="Q67"/>
    </row>
    <row r="68" spans="1:17">
      <c r="A68"/>
      <c r="B68"/>
      <c r="G68"/>
      <c r="H68"/>
      <c r="I68"/>
      <c r="J68"/>
      <c r="K68"/>
      <c r="L68"/>
      <c r="M68"/>
      <c r="N68"/>
      <c r="O68"/>
      <c r="P68"/>
      <c r="Q68"/>
    </row>
    <row r="69" spans="1:17">
      <c r="A69"/>
      <c r="B69"/>
      <c r="G69"/>
      <c r="H69"/>
      <c r="I69"/>
      <c r="J69"/>
      <c r="K69"/>
      <c r="L69"/>
      <c r="M69"/>
      <c r="N69"/>
      <c r="O69"/>
      <c r="P69"/>
      <c r="Q69"/>
    </row>
    <row r="70" spans="1:17">
      <c r="A70"/>
      <c r="B70"/>
      <c r="G70"/>
      <c r="H70"/>
      <c r="I70"/>
      <c r="J70"/>
      <c r="K70"/>
      <c r="L70"/>
      <c r="M70"/>
      <c r="N70"/>
      <c r="O70"/>
      <c r="P70"/>
      <c r="Q70"/>
    </row>
    <row r="71" spans="1:17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>
      <c r="B72"/>
      <c r="C72"/>
      <c r="D72"/>
      <c r="E72"/>
      <c r="F72"/>
      <c r="G72"/>
      <c r="H72"/>
      <c r="I72"/>
      <c r="J72"/>
      <c r="K72"/>
      <c r="L72"/>
      <c r="M72"/>
    </row>
    <row r="73" spans="1:17">
      <c r="B73"/>
      <c r="C73"/>
      <c r="D73"/>
      <c r="E73"/>
      <c r="F73"/>
      <c r="G73"/>
      <c r="H73"/>
      <c r="I73"/>
      <c r="J73"/>
      <c r="K73"/>
      <c r="L73"/>
      <c r="M73"/>
    </row>
    <row r="74" spans="1:17">
      <c r="B74"/>
      <c r="C74"/>
      <c r="D74"/>
      <c r="E74"/>
      <c r="F74"/>
      <c r="G74"/>
      <c r="H74"/>
      <c r="I74"/>
      <c r="J74"/>
      <c r="K74"/>
      <c r="L74"/>
      <c r="M74"/>
    </row>
    <row r="75" spans="1:17">
      <c r="B75"/>
      <c r="C75"/>
      <c r="D75"/>
      <c r="E75"/>
      <c r="F75"/>
      <c r="G75"/>
      <c r="H75"/>
      <c r="I75"/>
      <c r="J75"/>
      <c r="K75"/>
      <c r="L75"/>
      <c r="M75"/>
    </row>
    <row r="76" spans="1:17">
      <c r="B76"/>
      <c r="C76"/>
      <c r="D76"/>
      <c r="E76"/>
      <c r="F76"/>
      <c r="G76"/>
      <c r="H76"/>
      <c r="I76"/>
      <c r="J76"/>
      <c r="K76"/>
      <c r="L76"/>
      <c r="M76"/>
    </row>
    <row r="77" spans="1:17">
      <c r="B77"/>
      <c r="C77"/>
      <c r="D77"/>
      <c r="E77"/>
      <c r="F77"/>
      <c r="G77"/>
      <c r="H77"/>
      <c r="I77"/>
      <c r="J77"/>
      <c r="K77"/>
      <c r="L77"/>
      <c r="M77"/>
    </row>
    <row r="78" spans="1:17">
      <c r="B78"/>
      <c r="C78"/>
      <c r="D78"/>
      <c r="E78"/>
      <c r="F78"/>
      <c r="G78"/>
    </row>
    <row r="79" spans="1:17">
      <c r="B79"/>
      <c r="C79"/>
      <c r="D79"/>
      <c r="E79"/>
      <c r="F79"/>
      <c r="G79"/>
    </row>
    <row r="80" spans="1:17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AG132"/>
  <sheetViews>
    <sheetView tabSelected="1" zoomScale="55" zoomScaleNormal="55" zoomScalePageLayoutView="85" workbookViewId="0">
      <selection activeCell="R45" sqref="R45"/>
    </sheetView>
  </sheetViews>
  <sheetFormatPr defaultColWidth="8.85546875" defaultRowHeight="12.75" customHeight="1"/>
  <cols>
    <col min="1" max="1" width="10.28515625" style="2" customWidth="1"/>
    <col min="2" max="2" width="31.42578125" style="2" customWidth="1"/>
    <col min="3" max="3" width="15" style="2" bestFit="1" customWidth="1"/>
    <col min="4" max="4" width="9.7109375" style="2" bestFit="1" customWidth="1"/>
    <col min="5" max="5" width="10.7109375" style="2" bestFit="1" customWidth="1"/>
    <col min="6" max="7" width="9.7109375" style="2" bestFit="1" customWidth="1"/>
    <col min="8" max="9" width="11.7109375" style="105" bestFit="1" customWidth="1"/>
    <col min="10" max="10" width="12.85546875" style="105" bestFit="1" customWidth="1"/>
    <col min="11" max="12" width="12" style="105" bestFit="1" customWidth="1"/>
    <col min="13" max="15" width="10.7109375" style="105" bestFit="1" customWidth="1"/>
    <col min="16" max="16" width="14.85546875" style="105" bestFit="1" customWidth="1"/>
    <col min="17" max="18" width="13.7109375" style="105" bestFit="1" customWidth="1"/>
    <col min="19" max="19" width="12.5703125" style="105" bestFit="1" customWidth="1"/>
    <col min="20" max="20" width="11.85546875" style="105" customWidth="1"/>
    <col min="21" max="21" width="11.28515625" style="105" customWidth="1"/>
    <col min="22" max="22" width="17.85546875" style="105" bestFit="1" customWidth="1"/>
    <col min="23" max="23" width="15.5703125" style="33" bestFit="1" customWidth="1"/>
    <col min="24" max="24" width="6.42578125" style="2" customWidth="1"/>
    <col min="25" max="25" width="13" style="2" bestFit="1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695"/>
      <c r="F1" s="696" t="s">
        <v>111</v>
      </c>
      <c r="G1" s="696"/>
      <c r="H1" s="697" t="s">
        <v>112</v>
      </c>
      <c r="I1" s="697"/>
      <c r="J1" s="697"/>
      <c r="K1" s="697"/>
      <c r="L1" s="697"/>
      <c r="M1" s="697"/>
      <c r="N1" s="697"/>
      <c r="O1" s="697"/>
      <c r="P1" s="698" t="s">
        <v>113</v>
      </c>
      <c r="Q1" s="699"/>
      <c r="R1" s="699"/>
      <c r="S1" s="699"/>
      <c r="T1" s="699"/>
      <c r="U1" s="699"/>
      <c r="V1" s="700"/>
      <c r="W1" s="112" t="s">
        <v>111</v>
      </c>
    </row>
    <row r="2" spans="1:33">
      <c r="A2" s="116" t="s">
        <v>91</v>
      </c>
      <c r="B2" s="31" t="s">
        <v>114</v>
      </c>
      <c r="C2" s="63" t="s">
        <v>115</v>
      </c>
      <c r="D2" s="137" t="s">
        <v>116</v>
      </c>
      <c r="E2" s="138" t="s">
        <v>117</v>
      </c>
      <c r="F2" s="135" t="s">
        <v>118</v>
      </c>
      <c r="G2" s="136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85" t="s">
        <v>120</v>
      </c>
      <c r="Q2" s="686" t="s">
        <v>50</v>
      </c>
      <c r="R2" s="686" t="s">
        <v>121</v>
      </c>
      <c r="S2" s="686" t="s">
        <v>53</v>
      </c>
      <c r="T2" s="686" t="s">
        <v>122</v>
      </c>
      <c r="U2" s="686" t="s">
        <v>123</v>
      </c>
      <c r="V2" s="687" t="s">
        <v>124</v>
      </c>
      <c r="W2" s="9" t="s">
        <v>118</v>
      </c>
      <c r="Y2" s="701" t="s">
        <v>125</v>
      </c>
      <c r="Z2" s="701"/>
      <c r="AA2" s="701"/>
      <c r="AB2" s="701"/>
      <c r="AD2" s="694" t="s">
        <v>126</v>
      </c>
      <c r="AE2" s="694"/>
      <c r="AF2" s="694"/>
      <c r="AG2" s="10"/>
    </row>
    <row r="3" spans="1:33">
      <c r="A3" s="283"/>
      <c r="B3" s="287"/>
      <c r="C3" s="178"/>
      <c r="D3" s="179">
        <v>2000</v>
      </c>
      <c r="E3" s="181">
        <v>9500</v>
      </c>
      <c r="F3" s="182">
        <v>0</v>
      </c>
      <c r="G3" s="181">
        <v>0</v>
      </c>
      <c r="H3" s="180">
        <v>8939.0800000000017</v>
      </c>
      <c r="I3" s="180">
        <v>52071.910000000011</v>
      </c>
      <c r="J3" s="180">
        <v>153868</v>
      </c>
      <c r="K3" s="180">
        <v>60778.679999999993</v>
      </c>
      <c r="L3" s="180">
        <v>26245.91</v>
      </c>
      <c r="M3" s="180">
        <v>32000.370000000003</v>
      </c>
      <c r="N3" s="180">
        <v>4000</v>
      </c>
      <c r="O3" s="180">
        <v>33572.5</v>
      </c>
      <c r="P3" s="179">
        <v>213589</v>
      </c>
      <c r="Q3" s="180">
        <v>132109</v>
      </c>
      <c r="R3" s="180">
        <v>71894</v>
      </c>
      <c r="S3" s="180">
        <v>7120</v>
      </c>
      <c r="T3" s="180">
        <v>33181</v>
      </c>
      <c r="U3" s="180">
        <v>27298</v>
      </c>
      <c r="V3" s="181">
        <v>256497</v>
      </c>
      <c r="W3" s="183">
        <v>4028.92</v>
      </c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 s="342" customFormat="1">
      <c r="A4" s="340">
        <v>46174</v>
      </c>
      <c r="B4" s="369" t="s">
        <v>139</v>
      </c>
      <c r="C4" s="151" t="s">
        <v>22</v>
      </c>
      <c r="D4" s="188"/>
      <c r="E4" s="188">
        <v>-3688</v>
      </c>
      <c r="F4" s="189"/>
      <c r="G4" s="190"/>
      <c r="H4" s="188"/>
      <c r="I4" s="188">
        <v>473.52</v>
      </c>
      <c r="J4" s="188">
        <v>1000</v>
      </c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194"/>
      <c r="Y4" s="343" t="s">
        <v>8</v>
      </c>
      <c r="Z4" s="23">
        <f>Summary!Z21</f>
        <v>350</v>
      </c>
      <c r="AA4" s="23">
        <f>SUMIF($C$2:$C$43,Y4,$F$2:$F$43)+SUMIF($C$2:$C$43,Y4,$G$2:$G$43)</f>
        <v>-75</v>
      </c>
      <c r="AB4" s="26">
        <f t="shared" ref="AB4:AB21" si="0">Z4+AA4</f>
        <v>275</v>
      </c>
      <c r="AD4" s="343"/>
      <c r="AE4" s="19"/>
      <c r="AF4" s="410"/>
    </row>
    <row r="5" spans="1:33" s="342" customFormat="1">
      <c r="A5" s="340">
        <v>46174</v>
      </c>
      <c r="B5" s="341" t="s">
        <v>140</v>
      </c>
      <c r="C5" s="151" t="s">
        <v>12</v>
      </c>
      <c r="D5" s="188"/>
      <c r="E5" s="188">
        <v>-275</v>
      </c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194"/>
      <c r="Y5" s="343" t="s">
        <v>9</v>
      </c>
      <c r="Z5" s="23">
        <f>Summary!Z22</f>
        <v>335</v>
      </c>
      <c r="AA5" s="23">
        <f>SUMIF($C$2:$C$43,Y5,$F$2:$F$43)+SUMIF($C$2:$C$43,Y5,$G$2:$G$43)</f>
        <v>0</v>
      </c>
      <c r="AB5" s="26">
        <f t="shared" si="0"/>
        <v>335</v>
      </c>
      <c r="AD5" s="390" t="s">
        <v>128</v>
      </c>
      <c r="AE5" s="19"/>
      <c r="AF5" s="344"/>
    </row>
    <row r="6" spans="1:33" s="342" customFormat="1">
      <c r="A6" s="340">
        <v>46174</v>
      </c>
      <c r="B6" s="341" t="s">
        <v>24</v>
      </c>
      <c r="C6" s="186" t="s">
        <v>24</v>
      </c>
      <c r="D6" s="187"/>
      <c r="E6" s="188">
        <v>-500</v>
      </c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3"/>
      <c r="W6" s="194"/>
      <c r="Y6" s="343" t="s">
        <v>10</v>
      </c>
      <c r="Z6" s="23">
        <f>Summary!Z23</f>
        <v>20</v>
      </c>
      <c r="AA6" s="23">
        <f>SUMIF($C$2:$C$43,Y6,$F$2:$F$43)+SUMIF($C$2:$C$43,Y6,$G$2:$G$43)</f>
        <v>0</v>
      </c>
      <c r="AB6" s="26">
        <f t="shared" si="0"/>
        <v>20</v>
      </c>
      <c r="AD6" s="343" t="s">
        <v>49</v>
      </c>
      <c r="AE6" s="22"/>
      <c r="AF6" s="344"/>
    </row>
    <row r="7" spans="1:33" s="342" customFormat="1">
      <c r="A7" s="340">
        <v>46174</v>
      </c>
      <c r="B7" s="341" t="s">
        <v>22</v>
      </c>
      <c r="C7" s="186" t="s">
        <v>22</v>
      </c>
      <c r="D7" s="187"/>
      <c r="E7" s="188">
        <v>-4250</v>
      </c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194"/>
      <c r="Y7" s="345" t="s">
        <v>11</v>
      </c>
      <c r="Z7" s="23">
        <f>Summary!Z24</f>
        <v>20</v>
      </c>
      <c r="AA7" s="23">
        <f>SUMIF($C$2:$C$43,Y7,$F$2:$F$43)+SUMIF($C$2:$C$43,Y7,$G$2:$G$43)</f>
        <v>-73.19</v>
      </c>
      <c r="AB7" s="26">
        <f t="shared" si="0"/>
        <v>-53.19</v>
      </c>
      <c r="AD7" s="343" t="s">
        <v>111</v>
      </c>
      <c r="AE7" s="23"/>
      <c r="AF7" s="344"/>
    </row>
    <row r="8" spans="1:33">
      <c r="A8" s="437">
        <v>46174</v>
      </c>
      <c r="B8" s="439" t="s">
        <v>22</v>
      </c>
      <c r="C8" s="143" t="s">
        <v>22</v>
      </c>
      <c r="D8" s="158"/>
      <c r="E8" s="159">
        <v>3800</v>
      </c>
      <c r="F8" s="158"/>
      <c r="G8" s="160"/>
      <c r="H8" s="159"/>
      <c r="I8" s="159"/>
      <c r="J8" s="159"/>
      <c r="K8" s="159"/>
      <c r="L8" s="159"/>
      <c r="M8" s="159"/>
      <c r="N8" s="159"/>
      <c r="O8" s="159"/>
      <c r="P8" s="158"/>
      <c r="Q8" s="159"/>
      <c r="R8" s="159"/>
      <c r="S8" s="159"/>
      <c r="T8" s="159"/>
      <c r="U8" s="159"/>
      <c r="V8" s="160"/>
      <c r="W8" s="170"/>
      <c r="Y8" s="18" t="s">
        <v>12</v>
      </c>
      <c r="Z8" s="23">
        <f>Summary!Z25</f>
        <v>700</v>
      </c>
      <c r="AA8" s="23">
        <f>SUMIF($C$2:$C$43,Y8,$F$2:$F$43)+SUMIF($C$2:$C$43,Y8,$G$2:$G$43)+E5</f>
        <v>-275</v>
      </c>
      <c r="AB8" s="26">
        <f t="shared" si="0"/>
        <v>425</v>
      </c>
      <c r="AD8" s="18" t="s">
        <v>131</v>
      </c>
      <c r="AE8" s="22"/>
      <c r="AF8" s="20"/>
    </row>
    <row r="9" spans="1:33">
      <c r="A9" s="437">
        <v>46174</v>
      </c>
      <c r="B9" s="439" t="s">
        <v>28</v>
      </c>
      <c r="C9" s="486" t="s">
        <v>141</v>
      </c>
      <c r="D9" s="158"/>
      <c r="E9" s="160">
        <v>-880</v>
      </c>
      <c r="F9" s="158">
        <v>-36</v>
      </c>
      <c r="G9" s="160"/>
      <c r="H9" s="159"/>
      <c r="I9" s="159"/>
      <c r="J9" s="159"/>
      <c r="K9" s="159"/>
      <c r="L9" s="159"/>
      <c r="M9" s="159"/>
      <c r="N9" s="159"/>
      <c r="O9" s="159"/>
      <c r="P9" s="158"/>
      <c r="Q9" s="159"/>
      <c r="R9" s="159"/>
      <c r="S9" s="159"/>
      <c r="T9" s="159"/>
      <c r="U9" s="159"/>
      <c r="V9" s="170"/>
      <c r="W9" s="170"/>
      <c r="Y9" s="18" t="s">
        <v>13</v>
      </c>
      <c r="Z9" s="23">
        <f>Summary!Z26</f>
        <v>1300</v>
      </c>
      <c r="AA9" s="23">
        <f>SUMIF($C$2:$C$43,Y9,$F$2:$F$43)+SUMIF($C$2:$C$43,Y9,$G$2:$G$43)</f>
        <v>-475</v>
      </c>
      <c r="AB9" s="26">
        <f t="shared" si="0"/>
        <v>825</v>
      </c>
      <c r="AD9" s="18" t="s">
        <v>124</v>
      </c>
      <c r="AE9" s="22"/>
      <c r="AF9" s="20"/>
    </row>
    <row r="10" spans="1:33" s="342" customFormat="1">
      <c r="A10" s="340">
        <v>46174</v>
      </c>
      <c r="B10" s="341" t="s">
        <v>142</v>
      </c>
      <c r="C10" s="23" t="s">
        <v>21</v>
      </c>
      <c r="D10" s="187"/>
      <c r="E10" s="193"/>
      <c r="F10" s="187">
        <v>-50</v>
      </c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194"/>
      <c r="Y10" s="343" t="s">
        <v>14</v>
      </c>
      <c r="Z10" s="23">
        <f>Summary!Z27</f>
        <v>150</v>
      </c>
      <c r="AA10" s="23">
        <f>SUMIF($C$2:$C$43,Y10,$F$2:$F$43)+SUMIF($C$2:$C$43,Y10,$G$2:$G$43)</f>
        <v>0</v>
      </c>
      <c r="AB10" s="26">
        <f t="shared" si="0"/>
        <v>150</v>
      </c>
      <c r="AD10" s="390" t="s">
        <v>29</v>
      </c>
      <c r="AE10" s="637">
        <f>SUM(AE6:AE9)</f>
        <v>0</v>
      </c>
      <c r="AF10" s="344"/>
    </row>
    <row r="11" spans="1:33" s="342" customFormat="1">
      <c r="A11" s="340">
        <v>46174</v>
      </c>
      <c r="B11" s="341" t="s">
        <v>143</v>
      </c>
      <c r="C11" s="23" t="s">
        <v>21</v>
      </c>
      <c r="D11" s="187"/>
      <c r="E11" s="193"/>
      <c r="F11" s="187">
        <v>-306</v>
      </c>
      <c r="G11" s="193"/>
      <c r="H11" s="188"/>
      <c r="I11" s="188"/>
      <c r="J11" s="195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194"/>
      <c r="Y11" s="343" t="s">
        <v>15</v>
      </c>
      <c r="Z11" s="23">
        <f>Summary!Z28</f>
        <v>200</v>
      </c>
      <c r="AA11" s="23">
        <f>SUMIF($C$2:$C$43,Y11,$F$2:$F$43)+SUMIF($C$2:$C$43,Y11,$G$2:$G$43)</f>
        <v>-113</v>
      </c>
      <c r="AB11" s="26">
        <f>Z11+AA11</f>
        <v>87</v>
      </c>
      <c r="AD11" s="343"/>
      <c r="AE11" s="584"/>
      <c r="AF11" s="344"/>
    </row>
    <row r="12" spans="1:33" s="342" customFormat="1">
      <c r="A12" s="340">
        <v>46174</v>
      </c>
      <c r="B12" s="341" t="s">
        <v>17</v>
      </c>
      <c r="C12" s="23" t="s">
        <v>17</v>
      </c>
      <c r="D12" s="187"/>
      <c r="E12" s="193"/>
      <c r="F12" s="187">
        <f>-14-4-8-0.47-6.48</f>
        <v>-32.950000000000003</v>
      </c>
      <c r="G12" s="193">
        <f>-121-62-62</f>
        <v>-245</v>
      </c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194"/>
      <c r="Y12" s="343" t="s">
        <v>16</v>
      </c>
      <c r="Z12" s="23">
        <f>Summary!Z29</f>
        <v>500</v>
      </c>
      <c r="AA12" s="23">
        <f>SUMIF($C$2:$C$43,Y12,$F$2:$F$43)+SUMIF($C$2:$C$43,Y12,$G$2:$G$43)</f>
        <v>0</v>
      </c>
      <c r="AB12" s="26">
        <f>Z12+AA12</f>
        <v>500</v>
      </c>
      <c r="AD12" s="390" t="s">
        <v>132</v>
      </c>
      <c r="AE12" s="19"/>
      <c r="AF12" s="344"/>
    </row>
    <row r="13" spans="1:33" s="342" customFormat="1">
      <c r="A13" s="340">
        <v>46174</v>
      </c>
      <c r="B13" s="341" t="s">
        <v>144</v>
      </c>
      <c r="C13" s="23" t="s">
        <v>21</v>
      </c>
      <c r="D13" s="187"/>
      <c r="E13" s="193"/>
      <c r="F13" s="187">
        <v>-50</v>
      </c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194"/>
      <c r="Y13" s="343" t="s">
        <v>17</v>
      </c>
      <c r="Z13" s="23">
        <f>Summary!Z30</f>
        <v>1000</v>
      </c>
      <c r="AA13" s="23">
        <f>SUMIF($C$2:$C$43,Y13,$F$2:$F$43)+SUMIF($C$2:$C$43,Y13,$G$2:$G$43)</f>
        <v>-277.95</v>
      </c>
      <c r="AB13" s="26">
        <f t="shared" si="0"/>
        <v>722.05</v>
      </c>
      <c r="AD13" s="343" t="s">
        <v>49</v>
      </c>
      <c r="AE13" s="23">
        <f>P44</f>
        <v>0</v>
      </c>
      <c r="AF13" s="344"/>
    </row>
    <row r="14" spans="1:33" s="342" customFormat="1">
      <c r="A14" s="340">
        <v>46174</v>
      </c>
      <c r="B14" s="341" t="s">
        <v>15</v>
      </c>
      <c r="C14" s="23" t="s">
        <v>15</v>
      </c>
      <c r="D14" s="343"/>
      <c r="E14" s="193"/>
      <c r="F14" s="187"/>
      <c r="G14" s="193">
        <v>-113</v>
      </c>
      <c r="H14" s="188"/>
      <c r="I14" s="188"/>
      <c r="J14" s="188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194"/>
      <c r="Y14" s="343" t="s">
        <v>18</v>
      </c>
      <c r="Z14" s="23">
        <f>Summary!Z31</f>
        <v>200</v>
      </c>
      <c r="AA14" s="23">
        <f>SUMIF($C$2:$C$43,Y14,$F$2:$F$43)+SUMIF($C$2:$C$43,Y14,$G$2:$G$43)</f>
        <v>0</v>
      </c>
      <c r="AB14" s="26">
        <f t="shared" si="0"/>
        <v>200</v>
      </c>
      <c r="AD14" s="343" t="s">
        <v>50</v>
      </c>
      <c r="AE14" s="23">
        <f>Q44</f>
        <v>0</v>
      </c>
      <c r="AF14" s="344"/>
    </row>
    <row r="15" spans="1:33" s="342" customFormat="1">
      <c r="A15" s="340">
        <v>46176</v>
      </c>
      <c r="B15" s="341" t="s">
        <v>13</v>
      </c>
      <c r="C15" s="23" t="s">
        <v>13</v>
      </c>
      <c r="D15" s="187"/>
      <c r="E15" s="193"/>
      <c r="F15" s="187">
        <f>-34-65-80</f>
        <v>-179</v>
      </c>
      <c r="G15" s="193">
        <f>-40-16-14-37-80-61-10-38</f>
        <v>-296</v>
      </c>
      <c r="H15" s="188"/>
      <c r="I15" s="188"/>
      <c r="J15" s="188"/>
      <c r="K15" s="188"/>
      <c r="L15" s="188"/>
      <c r="M15" s="188"/>
      <c r="N15" s="188"/>
      <c r="O15" s="193"/>
      <c r="P15" s="187"/>
      <c r="Q15" s="188"/>
      <c r="R15" s="188"/>
      <c r="S15" s="188"/>
      <c r="T15" s="188"/>
      <c r="U15" s="188"/>
      <c r="V15" s="193"/>
      <c r="W15" s="194"/>
      <c r="Y15" s="343" t="s">
        <v>19</v>
      </c>
      <c r="Z15" s="23">
        <f>Summary!Z32</f>
        <v>0</v>
      </c>
      <c r="AA15" s="23">
        <f>SUMIF($C$2:$C$43,Y15,$F$2:$F$43)+SUMIF($C$2:$C$43,Y15,$G$2:$G$43)</f>
        <v>0</v>
      </c>
      <c r="AB15" s="26">
        <f t="shared" si="0"/>
        <v>0</v>
      </c>
      <c r="AD15" s="343" t="s">
        <v>131</v>
      </c>
      <c r="AE15" s="23">
        <f>R44</f>
        <v>0</v>
      </c>
      <c r="AF15" s="344"/>
    </row>
    <row r="16" spans="1:33" s="342" customFormat="1">
      <c r="A16" s="340">
        <v>46176</v>
      </c>
      <c r="B16" s="341" t="s">
        <v>11</v>
      </c>
      <c r="C16" s="23" t="s">
        <v>11</v>
      </c>
      <c r="D16" s="187"/>
      <c r="E16" s="193"/>
      <c r="F16" s="187"/>
      <c r="G16" s="193">
        <f>-58.19-15</f>
        <v>-73.19</v>
      </c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194"/>
      <c r="Y16" s="343" t="s">
        <v>20</v>
      </c>
      <c r="Z16" s="23">
        <f>Summary!Z33</f>
        <v>500</v>
      </c>
      <c r="AA16" s="23">
        <f>SUMIF($C$2:$C$43,Y16,$F$2:$F$43)+SUMIF($C$2:$C$43,Y16,$G$2:$G$43)</f>
        <v>-80</v>
      </c>
      <c r="AB16" s="26">
        <f t="shared" si="0"/>
        <v>420</v>
      </c>
      <c r="AD16" s="343" t="s">
        <v>124</v>
      </c>
      <c r="AE16" s="23">
        <f>V44+T44</f>
        <v>0</v>
      </c>
      <c r="AF16" s="344"/>
    </row>
    <row r="17" spans="1:32" s="342" customFormat="1">
      <c r="A17" s="340">
        <v>46177</v>
      </c>
      <c r="B17" s="341" t="s">
        <v>145</v>
      </c>
      <c r="C17" s="23" t="s">
        <v>8</v>
      </c>
      <c r="D17" s="187"/>
      <c r="E17" s="193"/>
      <c r="F17" s="187">
        <v>-8</v>
      </c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194"/>
      <c r="Y17" s="343" t="s">
        <v>21</v>
      </c>
      <c r="Z17" s="23">
        <f>Summary!Z34</f>
        <v>800</v>
      </c>
      <c r="AA17" s="23">
        <f>SUMIF($C$2:$C$43,Y17,$F$2:$F$43)+SUMIF($C$2:$C$43,Y17,$G$2:$G$43)+E19</f>
        <v>-456</v>
      </c>
      <c r="AB17" s="26">
        <f t="shared" si="0"/>
        <v>344</v>
      </c>
      <c r="AD17" s="343" t="s">
        <v>133</v>
      </c>
      <c r="AE17" s="104">
        <f>SUM(W44:W44)</f>
        <v>0</v>
      </c>
      <c r="AF17" s="344"/>
    </row>
    <row r="18" spans="1:32" s="342" customFormat="1">
      <c r="A18" s="340">
        <v>46178</v>
      </c>
      <c r="B18" s="369" t="s">
        <v>26</v>
      </c>
      <c r="C18" s="23" t="s">
        <v>26</v>
      </c>
      <c r="D18" s="187"/>
      <c r="E18" s="193">
        <v>-100</v>
      </c>
      <c r="F18" s="187">
        <v>-35</v>
      </c>
      <c r="G18" s="193"/>
      <c r="H18" s="188"/>
      <c r="I18" s="188"/>
      <c r="J18" s="188"/>
      <c r="K18" s="188"/>
      <c r="L18" s="188"/>
      <c r="M18" s="188"/>
      <c r="N18" s="188"/>
      <c r="O18" s="193"/>
      <c r="P18" s="187"/>
      <c r="Q18" s="188"/>
      <c r="R18" s="188"/>
      <c r="S18" s="188"/>
      <c r="T18" s="188"/>
      <c r="U18" s="188"/>
      <c r="V18" s="193"/>
      <c r="W18" s="194"/>
      <c r="Y18" s="343" t="s">
        <v>22</v>
      </c>
      <c r="Z18" s="23">
        <f>Summary!Z35</f>
        <v>4100</v>
      </c>
      <c r="AA18" s="23">
        <f>SUMIF($C$2:$C$43,Y18,$F$2:$F$43)+SUMIF($C$2:$C$43,Y18,$G$2:$G$43)+E4+E7+E8</f>
        <v>-4138</v>
      </c>
      <c r="AB18" s="26">
        <f t="shared" si="0"/>
        <v>-38</v>
      </c>
      <c r="AD18" s="390" t="s">
        <v>29</v>
      </c>
      <c r="AE18" s="637">
        <f>SUM(AE13:AE17)</f>
        <v>0</v>
      </c>
      <c r="AF18" s="344"/>
    </row>
    <row r="19" spans="1:32" s="342" customFormat="1">
      <c r="A19" s="340">
        <v>46181</v>
      </c>
      <c r="B19" s="369" t="s">
        <v>146</v>
      </c>
      <c r="C19" s="23" t="s">
        <v>21</v>
      </c>
      <c r="D19" s="187"/>
      <c r="E19" s="193">
        <v>-50</v>
      </c>
      <c r="F19" s="187"/>
      <c r="G19" s="193"/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194"/>
      <c r="Y19" s="343" t="s">
        <v>23</v>
      </c>
      <c r="Z19" s="23">
        <f>Summary!Z36</f>
        <v>500</v>
      </c>
      <c r="AA19" s="23">
        <f>SUMIF($C$2:$C$43,Y19,$F$2:$F$43)+SUMIF($C$2:$C$43,Y19,$G$2:$G$43)</f>
        <v>0</v>
      </c>
      <c r="AB19" s="26">
        <f t="shared" si="0"/>
        <v>500</v>
      </c>
      <c r="AD19" s="370"/>
      <c r="AE19" s="371"/>
      <c r="AF19" s="372"/>
    </row>
    <row r="20" spans="1:32" s="342" customFormat="1">
      <c r="A20" s="340">
        <v>46181</v>
      </c>
      <c r="B20" s="341" t="s">
        <v>20</v>
      </c>
      <c r="C20" s="23" t="s">
        <v>20</v>
      </c>
      <c r="D20" s="187"/>
      <c r="E20" s="193"/>
      <c r="F20" s="187">
        <v>-80</v>
      </c>
      <c r="G20" s="193"/>
      <c r="H20" s="188"/>
      <c r="I20" s="188"/>
      <c r="J20" s="188"/>
      <c r="K20" s="188"/>
      <c r="L20" s="188"/>
      <c r="M20" s="188"/>
      <c r="N20" s="188"/>
      <c r="O20" s="193"/>
      <c r="P20" s="187"/>
      <c r="Q20" s="188"/>
      <c r="R20" s="188"/>
      <c r="S20" s="188"/>
      <c r="T20" s="188"/>
      <c r="U20" s="188"/>
      <c r="V20" s="193"/>
      <c r="W20" s="194"/>
      <c r="Y20" s="343" t="s">
        <v>24</v>
      </c>
      <c r="Z20" s="23">
        <f>Summary!Z37</f>
        <v>500</v>
      </c>
      <c r="AA20" s="23">
        <f>SUMIF($C$2:$C$43,Y20,$F$2:$F$43)+SUMIF($C$2:$C$43,Y20,$G$2:$G$43)+E6</f>
        <v>-500</v>
      </c>
      <c r="AB20" s="26">
        <f t="shared" si="0"/>
        <v>0</v>
      </c>
      <c r="AD20" s="370"/>
      <c r="AE20" s="371"/>
      <c r="AF20" s="372"/>
    </row>
    <row r="21" spans="1:32" s="342" customFormat="1">
      <c r="A21" s="340">
        <v>46181</v>
      </c>
      <c r="B21" s="341" t="s">
        <v>147</v>
      </c>
      <c r="C21" s="23" t="s">
        <v>8</v>
      </c>
      <c r="D21" s="187"/>
      <c r="E21" s="193"/>
      <c r="F21" s="187">
        <v>-47</v>
      </c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194"/>
      <c r="Y21" s="343" t="s">
        <v>25</v>
      </c>
      <c r="Z21" s="23">
        <f>Summary!Z38</f>
        <v>500</v>
      </c>
      <c r="AA21" s="23">
        <f>SUMIF($C$2:$C$43,Y21,$F$2:$F$43)+SUMIF($C$2:$C$43,Y21,$G$2:$G$43)</f>
        <v>0</v>
      </c>
      <c r="AB21" s="26">
        <f t="shared" si="0"/>
        <v>500</v>
      </c>
      <c r="AD21" s="370"/>
      <c r="AE21" s="371"/>
      <c r="AF21" s="372"/>
    </row>
    <row r="22" spans="1:32" s="342" customFormat="1">
      <c r="A22" s="340">
        <v>46181</v>
      </c>
      <c r="B22" s="341" t="s">
        <v>148</v>
      </c>
      <c r="C22" s="23" t="s">
        <v>8</v>
      </c>
      <c r="D22" s="187"/>
      <c r="E22" s="193"/>
      <c r="F22" s="187">
        <v>-20</v>
      </c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194"/>
      <c r="Y22" s="343" t="s">
        <v>26</v>
      </c>
      <c r="Z22" s="23">
        <f>Summary!Z39</f>
        <v>200</v>
      </c>
      <c r="AA22" s="23">
        <f>SUMIF($C$2:$C$43,Y22,$F$2:$F$43)+SUMIF($C$2:$C$43,Y22,$G$2:$G$43)</f>
        <v>-35</v>
      </c>
      <c r="AB22" s="26">
        <f>Z22+AA22</f>
        <v>165</v>
      </c>
      <c r="AD22" s="370"/>
      <c r="AE22" s="371"/>
      <c r="AF22" s="372"/>
    </row>
    <row r="23" spans="1:32">
      <c r="A23" s="437">
        <v>46181</v>
      </c>
      <c r="B23" s="439"/>
      <c r="C23" s="486"/>
      <c r="D23" s="158"/>
      <c r="E23" s="160"/>
      <c r="F23" s="158"/>
      <c r="G23" s="160"/>
      <c r="H23" s="159"/>
      <c r="I23" s="159"/>
      <c r="J23" s="159"/>
      <c r="K23" s="159"/>
      <c r="L23" s="159"/>
      <c r="M23" s="159"/>
      <c r="N23" s="159"/>
      <c r="O23" s="160"/>
      <c r="P23" s="158"/>
      <c r="Q23" s="159"/>
      <c r="R23" s="159"/>
      <c r="S23" s="159"/>
      <c r="T23" s="159"/>
      <c r="U23" s="159"/>
      <c r="V23" s="159"/>
      <c r="W23" s="161"/>
      <c r="Y23" s="18" t="s">
        <v>27</v>
      </c>
      <c r="Z23" s="23">
        <f>Summary!Z40</f>
        <v>0</v>
      </c>
      <c r="AA23" s="23">
        <f>SUMIF($C$2:$C$43,Y23,$F$2:$F$43)+SUMIF($C$2:$C$43,Y23,$G$2:$G$43)</f>
        <v>0</v>
      </c>
      <c r="AB23" s="26">
        <f>Z23+AA23</f>
        <v>0</v>
      </c>
      <c r="AD23" s="124"/>
      <c r="AE23"/>
      <c r="AF23" s="125"/>
    </row>
    <row r="24" spans="1:32">
      <c r="A24" s="437"/>
      <c r="B24" s="439"/>
      <c r="C24" s="486"/>
      <c r="D24" s="158"/>
      <c r="E24" s="160"/>
      <c r="F24" s="158"/>
      <c r="G24" s="160"/>
      <c r="H24" s="159"/>
      <c r="I24" s="159"/>
      <c r="J24" s="159"/>
      <c r="K24" s="159"/>
      <c r="L24" s="159"/>
      <c r="M24" s="159"/>
      <c r="N24" s="159"/>
      <c r="O24" s="160"/>
      <c r="P24" s="158"/>
      <c r="Q24" s="159"/>
      <c r="R24" s="159"/>
      <c r="S24" s="159"/>
      <c r="T24" s="159"/>
      <c r="U24" s="159"/>
      <c r="V24" s="159"/>
      <c r="W24" s="161"/>
      <c r="Y24" s="18" t="s">
        <v>28</v>
      </c>
      <c r="Z24" s="23">
        <f>Summary!Z41</f>
        <v>900</v>
      </c>
      <c r="AA24" s="23">
        <f>SUMIF($C$2:$C$43,Y24,$F$2:$F$43)+SUMIF($C$2:$C$43,Y24,$G$2:$G$43)</f>
        <v>-36</v>
      </c>
      <c r="AB24" s="26">
        <f>Z24+AA24</f>
        <v>864</v>
      </c>
      <c r="AD24" s="124"/>
      <c r="AE24"/>
      <c r="AF24" s="125"/>
    </row>
    <row r="25" spans="1:32">
      <c r="A25" s="437"/>
      <c r="B25" s="439"/>
      <c r="C25" s="486"/>
      <c r="D25" s="158"/>
      <c r="E25" s="160"/>
      <c r="F25" s="158"/>
      <c r="G25" s="160"/>
      <c r="H25" s="159"/>
      <c r="I25" s="159"/>
      <c r="J25" s="159"/>
      <c r="K25" s="159"/>
      <c r="L25" s="159"/>
      <c r="M25" s="159"/>
      <c r="N25" s="159"/>
      <c r="O25" s="160"/>
      <c r="P25" s="158"/>
      <c r="Q25" s="159"/>
      <c r="R25" s="159"/>
      <c r="S25" s="159"/>
      <c r="T25" s="159"/>
      <c r="U25" s="159"/>
      <c r="V25" s="159"/>
      <c r="W25" s="161"/>
      <c r="Y25" s="18"/>
      <c r="Z25" s="23"/>
      <c r="AA25" s="23"/>
      <c r="AB25" s="26"/>
      <c r="AD25" s="124"/>
      <c r="AE25"/>
      <c r="AF25" s="125"/>
    </row>
    <row r="26" spans="1:32">
      <c r="A26" s="437"/>
      <c r="B26" s="439"/>
      <c r="C26" s="486"/>
      <c r="D26" s="158"/>
      <c r="E26" s="160"/>
      <c r="F26" s="158"/>
      <c r="G26" s="160"/>
      <c r="H26" s="159"/>
      <c r="I26" s="159"/>
      <c r="J26" s="159"/>
      <c r="K26" s="159"/>
      <c r="L26" s="159"/>
      <c r="M26" s="159"/>
      <c r="N26" s="159"/>
      <c r="O26" s="160"/>
      <c r="P26" s="158"/>
      <c r="Q26" s="159"/>
      <c r="R26" s="159"/>
      <c r="S26" s="159"/>
      <c r="T26" s="159"/>
      <c r="U26" s="159"/>
      <c r="V26" s="159"/>
      <c r="W26" s="161"/>
      <c r="Y26" s="18"/>
      <c r="Z26" s="23"/>
      <c r="AA26" s="23"/>
      <c r="AB26" s="26"/>
      <c r="AD26" s="124"/>
      <c r="AE26"/>
      <c r="AF26" s="125"/>
    </row>
    <row r="27" spans="1:32">
      <c r="A27" s="437"/>
      <c r="B27" s="439"/>
      <c r="C27" s="486"/>
      <c r="D27" s="158"/>
      <c r="E27" s="160"/>
      <c r="F27" s="158"/>
      <c r="G27" s="160"/>
      <c r="H27" s="159"/>
      <c r="I27" s="159"/>
      <c r="J27" s="159"/>
      <c r="K27" s="159"/>
      <c r="L27" s="159"/>
      <c r="M27" s="159"/>
      <c r="N27" s="159"/>
      <c r="O27" s="160"/>
      <c r="P27" s="158"/>
      <c r="Q27" s="159"/>
      <c r="R27" s="159"/>
      <c r="S27" s="159"/>
      <c r="T27" s="159"/>
      <c r="U27" s="159"/>
      <c r="V27" s="159"/>
      <c r="W27" s="161"/>
      <c r="Y27" s="18"/>
      <c r="Z27" s="23"/>
      <c r="AA27" s="23"/>
      <c r="AB27" s="26"/>
      <c r="AD27" s="124"/>
      <c r="AE27"/>
      <c r="AF27" s="125"/>
    </row>
    <row r="28" spans="1:32">
      <c r="A28" s="437"/>
      <c r="B28" s="439"/>
      <c r="C28" s="486"/>
      <c r="D28" s="158"/>
      <c r="E28" s="160"/>
      <c r="F28" s="158"/>
      <c r="G28" s="160"/>
      <c r="H28" s="159"/>
      <c r="I28" s="159"/>
      <c r="J28" s="159"/>
      <c r="K28" s="159"/>
      <c r="L28" s="159"/>
      <c r="M28" s="159"/>
      <c r="N28" s="159"/>
      <c r="O28" s="160"/>
      <c r="P28" s="158"/>
      <c r="Q28" s="159"/>
      <c r="R28" s="159"/>
      <c r="S28" s="159"/>
      <c r="T28" s="159"/>
      <c r="U28" s="159"/>
      <c r="V28" s="159"/>
      <c r="W28" s="161"/>
      <c r="Y28" s="18"/>
      <c r="Z28" s="23"/>
      <c r="AA28" s="23"/>
      <c r="AB28" s="26"/>
      <c r="AD28" s="124"/>
      <c r="AE28"/>
      <c r="AF28" s="125"/>
    </row>
    <row r="29" spans="1:32">
      <c r="A29" s="437"/>
      <c r="B29" s="439"/>
      <c r="C29" s="486"/>
      <c r="D29" s="158"/>
      <c r="E29" s="160"/>
      <c r="F29" s="158"/>
      <c r="G29" s="160"/>
      <c r="H29" s="159"/>
      <c r="I29" s="159"/>
      <c r="J29" s="159"/>
      <c r="K29" s="159"/>
      <c r="L29" s="159"/>
      <c r="M29" s="159"/>
      <c r="N29" s="159"/>
      <c r="O29" s="160"/>
      <c r="P29" s="158"/>
      <c r="Q29" s="159"/>
      <c r="R29" s="159"/>
      <c r="S29" s="159"/>
      <c r="T29" s="159"/>
      <c r="U29" s="159"/>
      <c r="V29" s="159"/>
      <c r="W29" s="161"/>
      <c r="Y29" s="18"/>
      <c r="Z29" s="23"/>
      <c r="AA29" s="23"/>
      <c r="AB29" s="26"/>
      <c r="AD29" s="124"/>
      <c r="AE29"/>
      <c r="AF29" s="125"/>
    </row>
    <row r="30" spans="1:32">
      <c r="A30" s="437"/>
      <c r="B30" s="439"/>
      <c r="C30" s="486"/>
      <c r="D30" s="158"/>
      <c r="E30" s="160"/>
      <c r="F30" s="158"/>
      <c r="G30" s="160"/>
      <c r="H30" s="159"/>
      <c r="I30" s="159"/>
      <c r="J30" s="159"/>
      <c r="K30" s="159"/>
      <c r="L30" s="159"/>
      <c r="M30" s="159"/>
      <c r="N30" s="159"/>
      <c r="O30" s="160"/>
      <c r="P30" s="158"/>
      <c r="Q30" s="159"/>
      <c r="R30" s="159"/>
      <c r="S30" s="159"/>
      <c r="T30" s="159"/>
      <c r="U30" s="159"/>
      <c r="V30" s="159"/>
      <c r="W30" s="161"/>
      <c r="Y30" s="18"/>
      <c r="Z30" s="23"/>
      <c r="AA30" s="23"/>
      <c r="AB30" s="26"/>
      <c r="AD30" s="124"/>
      <c r="AE30"/>
      <c r="AF30" s="125"/>
    </row>
    <row r="31" spans="1:32">
      <c r="A31" s="437"/>
      <c r="B31" s="439"/>
      <c r="C31" s="486"/>
      <c r="D31" s="158"/>
      <c r="E31" s="160"/>
      <c r="F31" s="158"/>
      <c r="G31" s="160"/>
      <c r="H31" s="159"/>
      <c r="I31" s="159"/>
      <c r="J31" s="159"/>
      <c r="K31" s="159"/>
      <c r="L31" s="159"/>
      <c r="M31" s="159"/>
      <c r="N31" s="159"/>
      <c r="O31" s="160"/>
      <c r="P31" s="158"/>
      <c r="Q31" s="159"/>
      <c r="R31" s="159"/>
      <c r="S31" s="159"/>
      <c r="T31" s="159"/>
      <c r="U31" s="159"/>
      <c r="V31" s="159"/>
      <c r="W31" s="161"/>
      <c r="Y31" s="18"/>
      <c r="Z31" s="23"/>
      <c r="AA31" s="23"/>
      <c r="AB31" s="26"/>
      <c r="AD31" s="124"/>
      <c r="AE31"/>
      <c r="AF31" s="125"/>
    </row>
    <row r="32" spans="1:32">
      <c r="A32" s="437"/>
      <c r="B32" s="439"/>
      <c r="C32" s="486"/>
      <c r="D32" s="158"/>
      <c r="E32" s="160"/>
      <c r="F32" s="158"/>
      <c r="G32" s="160"/>
      <c r="H32" s="159"/>
      <c r="I32" s="159"/>
      <c r="J32" s="159"/>
      <c r="K32" s="159"/>
      <c r="L32" s="159"/>
      <c r="M32" s="159"/>
      <c r="N32" s="159"/>
      <c r="O32" s="160"/>
      <c r="P32" s="158"/>
      <c r="Q32" s="159"/>
      <c r="R32" s="159"/>
      <c r="S32" s="159"/>
      <c r="T32" s="159"/>
      <c r="U32" s="159"/>
      <c r="V32" s="159"/>
      <c r="W32" s="161"/>
      <c r="Y32" s="18"/>
      <c r="Z32" s="23"/>
      <c r="AA32" s="23"/>
      <c r="AB32" s="26"/>
      <c r="AD32" s="124"/>
      <c r="AE32"/>
      <c r="AF32" s="125"/>
    </row>
    <row r="33" spans="1:33">
      <c r="A33" s="437"/>
      <c r="B33" s="438"/>
      <c r="C33" s="486"/>
      <c r="D33" s="158"/>
      <c r="E33" s="160"/>
      <c r="F33" s="158"/>
      <c r="G33" s="160"/>
      <c r="H33" s="159"/>
      <c r="I33" s="159"/>
      <c r="J33" s="159"/>
      <c r="K33" s="159"/>
      <c r="L33" s="159"/>
      <c r="M33" s="159"/>
      <c r="N33" s="159"/>
      <c r="O33" s="159"/>
      <c r="P33" s="158"/>
      <c r="Q33" s="159"/>
      <c r="R33" s="159"/>
      <c r="S33" s="159"/>
      <c r="T33" s="159"/>
      <c r="U33" s="159"/>
      <c r="V33" s="160"/>
      <c r="W33" s="170"/>
      <c r="Y33" s="18"/>
      <c r="Z33" s="23"/>
      <c r="AA33" s="23"/>
      <c r="AB33" s="26"/>
      <c r="AD33" s="124"/>
      <c r="AE33"/>
      <c r="AF33" s="125"/>
    </row>
    <row r="34" spans="1:33">
      <c r="A34" s="437"/>
      <c r="B34" s="439"/>
      <c r="C34" s="486"/>
      <c r="D34" s="158"/>
      <c r="E34" s="160"/>
      <c r="F34" s="158"/>
      <c r="G34" s="160"/>
      <c r="H34" s="171"/>
      <c r="I34" s="171"/>
      <c r="J34" s="171"/>
      <c r="K34" s="159"/>
      <c r="L34" s="159"/>
      <c r="M34" s="159"/>
      <c r="N34" s="159"/>
      <c r="O34" s="159"/>
      <c r="P34" s="158"/>
      <c r="Q34" s="159"/>
      <c r="R34" s="159"/>
      <c r="S34" s="159"/>
      <c r="T34" s="159"/>
      <c r="U34" s="159"/>
      <c r="V34" s="160"/>
      <c r="W34" s="170"/>
      <c r="Y34" s="18"/>
      <c r="Z34" s="23"/>
      <c r="AA34" s="23"/>
      <c r="AB34" s="26"/>
      <c r="AD34" s="124"/>
      <c r="AE34"/>
      <c r="AF34" s="125"/>
    </row>
    <row r="35" spans="1:33" s="297" customFormat="1">
      <c r="A35" s="437"/>
      <c r="B35" s="439"/>
      <c r="C35" s="488"/>
      <c r="D35" s="158"/>
      <c r="E35" s="160"/>
      <c r="F35" s="158"/>
      <c r="G35" s="160"/>
      <c r="H35" s="171"/>
      <c r="I35" s="171"/>
      <c r="J35" s="171"/>
      <c r="K35" s="171"/>
      <c r="L35" s="171"/>
      <c r="M35" s="171"/>
      <c r="N35" s="171"/>
      <c r="O35" s="171"/>
      <c r="P35" s="158"/>
      <c r="Q35" s="171"/>
      <c r="R35" s="171"/>
      <c r="S35" s="171"/>
      <c r="T35" s="171"/>
      <c r="U35" s="171"/>
      <c r="V35" s="160"/>
      <c r="W35" s="170"/>
      <c r="X35" s="2"/>
      <c r="Y35" s="18"/>
      <c r="Z35" s="25"/>
      <c r="AA35" s="25"/>
      <c r="AB35" s="306"/>
      <c r="AC35" s="2"/>
      <c r="AD35" s="124"/>
      <c r="AE35"/>
      <c r="AF35" s="125"/>
      <c r="AG35" s="2"/>
    </row>
    <row r="36" spans="1:33" s="297" customFormat="1">
      <c r="A36" s="437"/>
      <c r="B36" s="439"/>
      <c r="C36" s="488"/>
      <c r="D36" s="158"/>
      <c r="E36" s="160"/>
      <c r="F36" s="158"/>
      <c r="G36" s="160"/>
      <c r="H36" s="171"/>
      <c r="I36" s="171"/>
      <c r="J36" s="171"/>
      <c r="K36" s="171"/>
      <c r="L36" s="171"/>
      <c r="M36" s="171"/>
      <c r="N36" s="171"/>
      <c r="O36" s="171"/>
      <c r="P36" s="158"/>
      <c r="Q36" s="171"/>
      <c r="R36" s="171"/>
      <c r="S36" s="171"/>
      <c r="T36" s="171"/>
      <c r="U36" s="171"/>
      <c r="V36" s="160"/>
      <c r="W36" s="170"/>
      <c r="X36" s="2"/>
      <c r="Y36" s="18"/>
      <c r="Z36" s="25"/>
      <c r="AA36" s="25"/>
      <c r="AB36" s="306"/>
      <c r="AC36" s="2"/>
      <c r="AD36" s="124"/>
      <c r="AE36"/>
      <c r="AF36" s="125"/>
      <c r="AG36" s="2"/>
    </row>
    <row r="37" spans="1:33" s="297" customFormat="1">
      <c r="A37" s="437"/>
      <c r="B37" s="439"/>
      <c r="C37" s="488"/>
      <c r="D37" s="158"/>
      <c r="E37" s="160"/>
      <c r="F37" s="158"/>
      <c r="G37" s="160"/>
      <c r="H37" s="171"/>
      <c r="I37" s="171"/>
      <c r="J37" s="171"/>
      <c r="K37" s="171"/>
      <c r="L37" s="171"/>
      <c r="M37" s="171"/>
      <c r="N37" s="171"/>
      <c r="O37" s="171"/>
      <c r="P37" s="158"/>
      <c r="Q37" s="171"/>
      <c r="R37" s="171"/>
      <c r="S37" s="171"/>
      <c r="T37" s="171"/>
      <c r="U37" s="171"/>
      <c r="V37" s="160"/>
      <c r="W37" s="170"/>
      <c r="X37" s="2"/>
      <c r="Y37" s="18"/>
      <c r="Z37" s="25"/>
      <c r="AA37" s="25"/>
      <c r="AB37" s="306"/>
      <c r="AC37" s="2"/>
      <c r="AD37" s="124"/>
      <c r="AE37"/>
      <c r="AF37" s="125"/>
      <c r="AG37" s="2"/>
    </row>
    <row r="38" spans="1:33" s="297" customFormat="1">
      <c r="A38" s="437"/>
      <c r="B38" s="439"/>
      <c r="C38" s="488"/>
      <c r="D38" s="158"/>
      <c r="E38" s="160"/>
      <c r="F38" s="158"/>
      <c r="G38" s="160"/>
      <c r="H38" s="171"/>
      <c r="I38" s="171"/>
      <c r="J38" s="171"/>
      <c r="K38" s="171"/>
      <c r="L38" s="171"/>
      <c r="M38" s="171"/>
      <c r="N38" s="171"/>
      <c r="O38" s="171"/>
      <c r="P38" s="158"/>
      <c r="Q38" s="171"/>
      <c r="R38" s="171"/>
      <c r="S38" s="171"/>
      <c r="T38" s="171"/>
      <c r="U38" s="171"/>
      <c r="V38" s="160"/>
      <c r="W38" s="170"/>
      <c r="X38" s="2"/>
      <c r="Y38" s="18"/>
      <c r="Z38" s="25"/>
      <c r="AA38" s="25"/>
      <c r="AB38" s="306"/>
      <c r="AC38" s="2"/>
      <c r="AD38" s="124"/>
      <c r="AE38"/>
      <c r="AF38" s="125"/>
      <c r="AG38" s="2"/>
    </row>
    <row r="39" spans="1:33" s="297" customFormat="1">
      <c r="A39" s="437"/>
      <c r="B39" s="439"/>
      <c r="C39" s="488"/>
      <c r="D39" s="158"/>
      <c r="E39" s="160"/>
      <c r="F39" s="158"/>
      <c r="G39" s="160"/>
      <c r="H39" s="171"/>
      <c r="I39" s="171"/>
      <c r="J39" s="171"/>
      <c r="K39" s="171"/>
      <c r="L39" s="171"/>
      <c r="M39" s="171"/>
      <c r="N39" s="171"/>
      <c r="O39" s="171"/>
      <c r="P39" s="158"/>
      <c r="Q39" s="171"/>
      <c r="R39" s="171"/>
      <c r="S39" s="171"/>
      <c r="T39" s="171"/>
      <c r="U39" s="171"/>
      <c r="V39" s="160"/>
      <c r="W39" s="170"/>
      <c r="X39" s="2"/>
      <c r="Y39" s="18"/>
      <c r="Z39" s="25"/>
      <c r="AA39" s="25"/>
      <c r="AB39" s="306"/>
      <c r="AC39" s="2"/>
      <c r="AD39" s="124"/>
      <c r="AE39"/>
      <c r="AF39" s="125"/>
      <c r="AG39" s="2"/>
    </row>
    <row r="40" spans="1:33">
      <c r="A40" s="437"/>
      <c r="B40" s="439"/>
      <c r="C40" s="486"/>
      <c r="D40" s="158"/>
      <c r="E40" s="160"/>
      <c r="F40" s="158"/>
      <c r="G40" s="160"/>
      <c r="H40" s="171"/>
      <c r="I40" s="171"/>
      <c r="J40" s="171"/>
      <c r="K40" s="159"/>
      <c r="L40" s="159"/>
      <c r="M40" s="159"/>
      <c r="N40" s="159"/>
      <c r="O40" s="159"/>
      <c r="P40" s="158"/>
      <c r="Q40" s="159"/>
      <c r="R40" s="159"/>
      <c r="S40" s="159"/>
      <c r="T40" s="159"/>
      <c r="U40" s="159"/>
      <c r="V40" s="160"/>
      <c r="W40" s="170"/>
      <c r="Y40" s="18"/>
      <c r="Z40" s="23"/>
      <c r="AA40" s="23"/>
      <c r="AB40" s="26"/>
      <c r="AD40" s="124"/>
      <c r="AE40"/>
      <c r="AF40" s="125"/>
    </row>
    <row r="41" spans="1:33">
      <c r="A41" s="437"/>
      <c r="B41" s="439"/>
      <c r="C41" s="486"/>
      <c r="D41" s="158"/>
      <c r="E41" s="160"/>
      <c r="F41" s="158"/>
      <c r="G41" s="160"/>
      <c r="H41" s="171"/>
      <c r="I41" s="171"/>
      <c r="J41" s="171"/>
      <c r="K41" s="159"/>
      <c r="L41" s="159"/>
      <c r="M41" s="159"/>
      <c r="N41" s="159"/>
      <c r="O41" s="159"/>
      <c r="P41" s="158"/>
      <c r="Q41" s="159"/>
      <c r="R41" s="159"/>
      <c r="S41" s="159"/>
      <c r="T41" s="159"/>
      <c r="U41" s="159"/>
      <c r="V41" s="160"/>
      <c r="W41" s="170"/>
      <c r="Y41" s="18"/>
      <c r="Z41" s="23"/>
      <c r="AA41" s="23"/>
      <c r="AB41" s="26"/>
      <c r="AD41" s="124"/>
      <c r="AE41"/>
      <c r="AF41" s="125"/>
    </row>
    <row r="42" spans="1:33" ht="11.25" customHeight="1">
      <c r="A42" s="437">
        <v>46203</v>
      </c>
      <c r="B42" s="438" t="s">
        <v>3</v>
      </c>
      <c r="C42" s="691" t="s">
        <v>3</v>
      </c>
      <c r="D42" s="159"/>
      <c r="E42" s="159">
        <v>-25</v>
      </c>
      <c r="F42" s="692"/>
      <c r="G42" s="693"/>
      <c r="H42" s="159"/>
      <c r="I42" s="159">
        <v>25</v>
      </c>
      <c r="J42" s="159"/>
      <c r="K42" s="159"/>
      <c r="L42" s="159"/>
      <c r="M42" s="159"/>
      <c r="N42" s="159"/>
      <c r="O42" s="159"/>
      <c r="P42" s="158"/>
      <c r="Q42" s="159"/>
      <c r="R42" s="159"/>
      <c r="S42" s="159"/>
      <c r="T42" s="159"/>
      <c r="U42" s="159"/>
      <c r="V42" s="160"/>
      <c r="W42" s="170"/>
      <c r="Y42" s="18"/>
      <c r="Z42" s="23"/>
      <c r="AA42" s="23"/>
      <c r="AB42" s="26"/>
      <c r="AD42" s="124"/>
      <c r="AE42"/>
      <c r="AF42" s="125"/>
    </row>
    <row r="43" spans="1:33">
      <c r="A43" s="476">
        <v>46203</v>
      </c>
      <c r="B43" s="477" t="s">
        <v>149</v>
      </c>
      <c r="C43" s="478" t="s">
        <v>149</v>
      </c>
      <c r="D43" s="479"/>
      <c r="E43" s="480">
        <f>-SUM(F43:G43)</f>
        <v>-1571.14</v>
      </c>
      <c r="F43" s="481">
        <f>-SUM(F4:F42)</f>
        <v>843.95</v>
      </c>
      <c r="G43" s="480">
        <f>-SUM(G4:G42)</f>
        <v>727.19</v>
      </c>
      <c r="H43" s="482"/>
      <c r="I43" s="482"/>
      <c r="J43" s="482"/>
      <c r="K43" s="482"/>
      <c r="L43" s="482"/>
      <c r="M43" s="482"/>
      <c r="N43" s="482"/>
      <c r="O43" s="483"/>
      <c r="P43" s="484"/>
      <c r="Q43" s="482"/>
      <c r="R43" s="482"/>
      <c r="S43" s="482"/>
      <c r="T43" s="482"/>
      <c r="U43" s="482"/>
      <c r="V43" s="483"/>
      <c r="W43" s="485"/>
      <c r="Y43" s="18"/>
      <c r="Z43" s="23"/>
      <c r="AA43" s="23"/>
      <c r="AB43" s="26"/>
      <c r="AD43" s="124"/>
      <c r="AE43"/>
      <c r="AF43" s="125"/>
    </row>
    <row r="44" spans="1:33">
      <c r="A44" s="286"/>
      <c r="B44" s="290"/>
      <c r="C44" s="307"/>
      <c r="D44" s="226"/>
      <c r="E44" s="228">
        <f>9600-SUM(E3:E43)</f>
        <v>7639.14</v>
      </c>
      <c r="F44" s="226"/>
      <c r="G44" s="228"/>
      <c r="H44" s="227"/>
      <c r="I44" s="227">
        <f>-E44</f>
        <v>-7639.14</v>
      </c>
      <c r="J44" s="227"/>
      <c r="K44" s="148"/>
      <c r="L44" s="148"/>
      <c r="M44" s="148"/>
      <c r="N44" s="148"/>
      <c r="O44" s="148"/>
      <c r="P44" s="147"/>
      <c r="Q44" s="148"/>
      <c r="R44" s="148"/>
      <c r="S44" s="148"/>
      <c r="T44" s="148"/>
      <c r="U44" s="148"/>
      <c r="V44" s="149"/>
      <c r="W44" s="150"/>
      <c r="Y44" s="30"/>
      <c r="Z44" s="48"/>
      <c r="AA44" s="48"/>
      <c r="AB44" s="49"/>
      <c r="AD44" s="126"/>
      <c r="AE44" s="127"/>
      <c r="AF44" s="128"/>
    </row>
    <row r="45" spans="1:33">
      <c r="A45" s="31" t="s">
        <v>134</v>
      </c>
      <c r="B45" s="31"/>
      <c r="C45" s="146"/>
      <c r="D45" s="308">
        <f t="shared" ref="D45:J45" si="1">SUM(D3:D44)</f>
        <v>2000</v>
      </c>
      <c r="E45" s="308">
        <f t="shared" si="1"/>
        <v>9600</v>
      </c>
      <c r="F45" s="309">
        <f t="shared" si="1"/>
        <v>0</v>
      </c>
      <c r="G45" s="309">
        <f t="shared" si="1"/>
        <v>0</v>
      </c>
      <c r="H45" s="308">
        <f t="shared" si="1"/>
        <v>8939.0800000000017</v>
      </c>
      <c r="I45" s="308">
        <f t="shared" si="1"/>
        <v>44931.290000000008</v>
      </c>
      <c r="J45" s="308">
        <f t="shared" si="1"/>
        <v>154868</v>
      </c>
      <c r="K45" s="196">
        <f t="shared" ref="K45:W45" si="2">SUM(K3:K44)</f>
        <v>60778.679999999993</v>
      </c>
      <c r="L45" s="196">
        <f t="shared" si="2"/>
        <v>26245.91</v>
      </c>
      <c r="M45" s="196">
        <f t="shared" si="2"/>
        <v>32000.370000000003</v>
      </c>
      <c r="N45" s="196">
        <f t="shared" si="2"/>
        <v>4000</v>
      </c>
      <c r="O45" s="196">
        <f t="shared" si="2"/>
        <v>33572.5</v>
      </c>
      <c r="P45" s="196">
        <f t="shared" si="2"/>
        <v>213589</v>
      </c>
      <c r="Q45" s="196">
        <f t="shared" si="2"/>
        <v>132109</v>
      </c>
      <c r="R45" s="196">
        <f>SUM(R3:R44)</f>
        <v>71894</v>
      </c>
      <c r="S45" s="196">
        <f t="shared" si="2"/>
        <v>7120</v>
      </c>
      <c r="T45" s="196">
        <f t="shared" si="2"/>
        <v>33181</v>
      </c>
      <c r="U45" s="196">
        <f t="shared" si="2"/>
        <v>27298</v>
      </c>
      <c r="V45" s="196">
        <f t="shared" si="2"/>
        <v>256497</v>
      </c>
      <c r="W45" s="196">
        <f t="shared" si="2"/>
        <v>4028.92</v>
      </c>
      <c r="Y45" s="100" t="s">
        <v>29</v>
      </c>
      <c r="Z45" s="32">
        <f>SUM(Z4:Z43)</f>
        <v>12775</v>
      </c>
      <c r="AA45" s="32">
        <f>SUM(AA4:AA43)</f>
        <v>-6534.14</v>
      </c>
      <c r="AB45" s="101">
        <f>SUM(AB4:AB43)</f>
        <v>6240.86</v>
      </c>
      <c r="AC45" s="11"/>
      <c r="AD45" s="100"/>
      <c r="AE45" s="57"/>
      <c r="AF45" s="102"/>
    </row>
    <row r="46" spans="1:33">
      <c r="A46" s="31"/>
      <c r="B46" s="31"/>
      <c r="C46" s="96"/>
      <c r="D46" s="305"/>
      <c r="E46" s="305"/>
      <c r="F46" s="305"/>
      <c r="G46" s="305"/>
      <c r="H46" s="305"/>
      <c r="I46" s="305"/>
      <c r="J46" s="305"/>
      <c r="K46" s="96"/>
      <c r="L46" s="96"/>
      <c r="M46" s="96"/>
      <c r="N46" s="96"/>
      <c r="O46" s="536"/>
      <c r="P46" s="537">
        <f>SUM(P47:P48)</f>
        <v>-203256</v>
      </c>
      <c r="Q46" s="537">
        <v>-89400</v>
      </c>
      <c r="R46" s="537">
        <v>-71894</v>
      </c>
      <c r="S46" s="537">
        <v>-7120</v>
      </c>
      <c r="T46" s="538"/>
      <c r="U46" s="538"/>
      <c r="V46" s="537">
        <f>SUM(V47:V48)</f>
        <v>-256497</v>
      </c>
      <c r="W46" s="96"/>
      <c r="Y46" s="31"/>
      <c r="Z46" s="95"/>
      <c r="AA46" s="95"/>
      <c r="AB46" s="95"/>
      <c r="AD46" s="31"/>
      <c r="AE46" s="24"/>
    </row>
    <row r="47" spans="1:33">
      <c r="A47" s="31"/>
      <c r="B47" s="31"/>
      <c r="C47"/>
      <c r="D47"/>
      <c r="E47"/>
      <c r="F47"/>
      <c r="G47"/>
      <c r="H47"/>
      <c r="I47"/>
      <c r="J47"/>
      <c r="K47"/>
      <c r="L47"/>
      <c r="M47"/>
      <c r="P47" s="456">
        <v>-192829</v>
      </c>
      <c r="Q47" s="590"/>
      <c r="R47" s="536"/>
      <c r="S47" s="536"/>
      <c r="T47" s="536"/>
      <c r="U47" s="536"/>
      <c r="V47" s="456">
        <v>-57802</v>
      </c>
      <c r="W47" s="641">
        <f>SUM(D45:W45)</f>
        <v>1122652.75</v>
      </c>
      <c r="Z47" s="95"/>
      <c r="AA47" s="95"/>
      <c r="AB47" s="95"/>
      <c r="AD47" s="31"/>
      <c r="AE47" s="24"/>
    </row>
    <row r="48" spans="1:33">
      <c r="A48"/>
      <c r="B48"/>
      <c r="C48"/>
      <c r="D48"/>
      <c r="E48"/>
      <c r="F48" s="332" t="s">
        <v>150</v>
      </c>
      <c r="G48" s="333">
        <v>601</v>
      </c>
      <c r="I48" s="471"/>
      <c r="J48" s="96"/>
      <c r="K48"/>
      <c r="L48"/>
      <c r="M48" s="134"/>
      <c r="N48"/>
      <c r="O48" s="454"/>
      <c r="P48" s="456">
        <v>-10427</v>
      </c>
      <c r="Q48" s="454"/>
      <c r="R48" s="456"/>
      <c r="S48" s="456"/>
      <c r="T48" s="456"/>
      <c r="U48" s="456"/>
      <c r="V48" s="456">
        <v>-198695</v>
      </c>
      <c r="W48" s="281"/>
    </row>
    <row r="49" spans="1:25">
      <c r="A49"/>
      <c r="B49"/>
      <c r="C49"/>
      <c r="D49"/>
      <c r="E49"/>
      <c r="F49" s="334" t="s">
        <v>151</v>
      </c>
      <c r="G49" s="335">
        <v>235</v>
      </c>
      <c r="I49" s="471"/>
      <c r="J49" s="96"/>
      <c r="K49"/>
      <c r="L49"/>
      <c r="M49"/>
      <c r="N49"/>
      <c r="O49" s="542" t="s">
        <v>152</v>
      </c>
      <c r="P49" s="455">
        <f>SUM(P45:S46)+SUM(V45:V46)</f>
        <v>53042</v>
      </c>
      <c r="Q49" s="454"/>
      <c r="R49" s="456"/>
      <c r="S49" s="456"/>
      <c r="T49" s="456"/>
      <c r="U49" s="456"/>
      <c r="V49" s="35"/>
      <c r="W49" s="282"/>
      <c r="X49" s="37"/>
      <c r="Y49" s="38" t="s">
        <v>135</v>
      </c>
    </row>
    <row r="50" spans="1:25">
      <c r="A50"/>
      <c r="B50"/>
      <c r="C50"/>
      <c r="D50"/>
      <c r="E50"/>
      <c r="F50" s="336" t="s">
        <v>29</v>
      </c>
      <c r="G50" s="469">
        <f>SUM(G48:G49)</f>
        <v>836</v>
      </c>
      <c r="I50" s="471"/>
      <c r="J50" s="96"/>
      <c r="K50"/>
      <c r="L50"/>
      <c r="M50"/>
      <c r="N50"/>
      <c r="O50"/>
      <c r="P50"/>
      <c r="Q50"/>
      <c r="V50" s="204" t="s">
        <v>136</v>
      </c>
      <c r="W50" s="279">
        <f>SUM(H45:O45)</f>
        <v>365335.82999999996</v>
      </c>
      <c r="X50" s="37"/>
      <c r="Y50" s="41">
        <f>W50/W53</f>
        <v>0.32542193478793863</v>
      </c>
    </row>
    <row r="51" spans="1:25">
      <c r="A51"/>
      <c r="B51"/>
      <c r="C51"/>
      <c r="D51"/>
      <c r="E51"/>
      <c r="F51" s="337"/>
      <c r="G51" s="338"/>
      <c r="I51" s="471"/>
      <c r="J51" s="96"/>
      <c r="K51"/>
      <c r="L51"/>
      <c r="M51"/>
      <c r="N51"/>
      <c r="O51"/>
      <c r="P51"/>
      <c r="Q51"/>
      <c r="V51" s="204" t="s">
        <v>137</v>
      </c>
      <c r="W51" s="279">
        <f>SUM(P45:W45)</f>
        <v>745716.92</v>
      </c>
      <c r="X51" s="37"/>
      <c r="Y51" s="41">
        <f>W51/W53</f>
        <v>0.66424539555975792</v>
      </c>
    </row>
    <row r="52" spans="1:25">
      <c r="A52"/>
      <c r="B52"/>
      <c r="C52"/>
      <c r="D52"/>
      <c r="E52"/>
      <c r="F52" s="332" t="s">
        <v>153</v>
      </c>
      <c r="G52" s="333">
        <v>633</v>
      </c>
      <c r="H52" s="467"/>
      <c r="I52" s="471"/>
      <c r="J52" s="96"/>
      <c r="K52"/>
      <c r="L52"/>
      <c r="M52"/>
      <c r="N52"/>
      <c r="O52"/>
      <c r="P52"/>
      <c r="Q52"/>
      <c r="V52" s="204" t="s">
        <v>138</v>
      </c>
      <c r="W52" s="279">
        <f>E45+D45</f>
        <v>11600</v>
      </c>
      <c r="X52" s="37"/>
      <c r="Y52" s="41">
        <f>W52/W53</f>
        <v>1.033266965230344E-2</v>
      </c>
    </row>
    <row r="53" spans="1:25">
      <c r="A53"/>
      <c r="B53"/>
      <c r="C53"/>
      <c r="D53"/>
      <c r="F53" s="334" t="s">
        <v>151</v>
      </c>
      <c r="G53" s="335">
        <v>108</v>
      </c>
      <c r="H53" s="468"/>
      <c r="I53" s="471"/>
      <c r="J53" s="96"/>
      <c r="K53"/>
      <c r="L53"/>
      <c r="M53"/>
      <c r="N53"/>
      <c r="O53"/>
      <c r="P53"/>
      <c r="Q53"/>
      <c r="V53" s="204" t="s">
        <v>56</v>
      </c>
      <c r="W53" s="642">
        <f>SUM(W50:W52)</f>
        <v>1122652.75</v>
      </c>
      <c r="X53" s="37"/>
      <c r="Y53" s="43"/>
    </row>
    <row r="54" spans="1:25">
      <c r="A54"/>
      <c r="B54"/>
      <c r="C54"/>
      <c r="D54"/>
      <c r="F54" s="339" t="s">
        <v>29</v>
      </c>
      <c r="G54" s="470">
        <f>SUM(G52:G53)</f>
        <v>741</v>
      </c>
      <c r="H54" s="468"/>
      <c r="I54" s="471"/>
      <c r="J54" s="96"/>
      <c r="K54"/>
      <c r="L54"/>
      <c r="M54"/>
      <c r="N54"/>
      <c r="O54"/>
      <c r="P54"/>
      <c r="Q54"/>
      <c r="V54" s="35"/>
      <c r="W54" s="36"/>
      <c r="X54" s="37"/>
      <c r="Y54" s="37"/>
    </row>
    <row r="55" spans="1:25">
      <c r="A55"/>
      <c r="B55"/>
      <c r="C55"/>
      <c r="D55"/>
      <c r="F55"/>
      <c r="G55"/>
      <c r="H55" s="96"/>
      <c r="I55" s="471"/>
      <c r="J55" s="96"/>
      <c r="K55"/>
      <c r="L55"/>
      <c r="M55"/>
      <c r="N55"/>
      <c r="O55"/>
      <c r="P55"/>
      <c r="Q55"/>
      <c r="V55" s="35"/>
      <c r="W55" s="44">
        <f>W53-W47</f>
        <v>0</v>
      </c>
      <c r="X55" s="37"/>
      <c r="Y55" s="37"/>
    </row>
    <row r="56" spans="1:25">
      <c r="A56"/>
      <c r="B56"/>
      <c r="D56"/>
      <c r="F56"/>
      <c r="G56"/>
      <c r="H56" s="96"/>
      <c r="I56" s="471"/>
      <c r="J56" s="96"/>
      <c r="K56"/>
      <c r="L56"/>
      <c r="M56"/>
      <c r="N56"/>
      <c r="O56"/>
      <c r="P56"/>
      <c r="Q56"/>
      <c r="V56" s="456" t="s">
        <v>154</v>
      </c>
      <c r="W56" s="281">
        <v>800000</v>
      </c>
    </row>
    <row r="57" spans="1:25">
      <c r="A57"/>
      <c r="B57"/>
      <c r="C57" s="298"/>
      <c r="D57"/>
      <c r="F57"/>
      <c r="G57"/>
      <c r="H57" s="305"/>
      <c r="I57"/>
      <c r="J57"/>
      <c r="K57"/>
      <c r="L57"/>
      <c r="M57"/>
      <c r="N57"/>
      <c r="O57"/>
      <c r="P57"/>
      <c r="Q57"/>
      <c r="V57" s="456" t="s">
        <v>155</v>
      </c>
      <c r="W57" s="534">
        <v>-629882.18000000005</v>
      </c>
    </row>
    <row r="58" spans="1:25" ht="15">
      <c r="A58"/>
      <c r="B58"/>
      <c r="C58" s="295"/>
      <c r="D58"/>
      <c r="F58"/>
      <c r="G58"/>
      <c r="H58" s="305"/>
      <c r="I58"/>
      <c r="J58"/>
      <c r="K58"/>
      <c r="L58"/>
      <c r="M58"/>
      <c r="N58"/>
      <c r="O58"/>
      <c r="P58"/>
      <c r="Q58"/>
      <c r="V58" s="456" t="s">
        <v>156</v>
      </c>
      <c r="W58" s="281">
        <f>W56+W57</f>
        <v>170117.81999999995</v>
      </c>
    </row>
    <row r="59" spans="1:25" ht="15">
      <c r="A59"/>
      <c r="B59"/>
      <c r="C59" s="295"/>
      <c r="D59"/>
      <c r="F59"/>
      <c r="G59"/>
      <c r="H59" s="305"/>
      <c r="I59"/>
      <c r="J59"/>
      <c r="K59"/>
      <c r="L59"/>
      <c r="M59"/>
      <c r="N59"/>
      <c r="O59"/>
      <c r="P59"/>
      <c r="Q59"/>
    </row>
    <row r="60" spans="1:25">
      <c r="A60"/>
      <c r="B60"/>
      <c r="D60"/>
      <c r="F60"/>
      <c r="G60"/>
      <c r="H60" s="305"/>
      <c r="I60"/>
      <c r="J60"/>
      <c r="K60"/>
      <c r="L60"/>
      <c r="M60"/>
      <c r="N60"/>
      <c r="O60"/>
      <c r="P60"/>
      <c r="Q60"/>
      <c r="V60" s="456" t="s">
        <v>154</v>
      </c>
      <c r="W60" s="647">
        <v>400000</v>
      </c>
    </row>
    <row r="61" spans="1:25">
      <c r="A61"/>
      <c r="B61"/>
      <c r="D61"/>
      <c r="F61"/>
      <c r="G61"/>
      <c r="H61" s="305"/>
      <c r="I61"/>
      <c r="J61"/>
      <c r="K61"/>
      <c r="L61"/>
      <c r="M61"/>
      <c r="N61"/>
      <c r="O61"/>
      <c r="P61"/>
      <c r="Q61"/>
      <c r="V61" s="456" t="s">
        <v>155</v>
      </c>
      <c r="W61" s="647">
        <v>-300000</v>
      </c>
    </row>
    <row r="62" spans="1:25" ht="15">
      <c r="A62"/>
      <c r="B62"/>
      <c r="C62" s="295"/>
      <c r="D62"/>
      <c r="F62"/>
      <c r="G62"/>
      <c r="H62" s="305"/>
      <c r="I62"/>
      <c r="J62"/>
      <c r="K62"/>
      <c r="L62"/>
      <c r="M62"/>
      <c r="N62"/>
      <c r="O62"/>
      <c r="P62"/>
      <c r="Q62"/>
      <c r="V62" s="456" t="s">
        <v>156</v>
      </c>
      <c r="W62" s="647">
        <f>W60+W61</f>
        <v>100000</v>
      </c>
    </row>
    <row r="63" spans="1:25" ht="15">
      <c r="A63"/>
      <c r="B63"/>
      <c r="C63" s="296"/>
      <c r="D63"/>
      <c r="F63"/>
      <c r="G63"/>
      <c r="H63" s="305"/>
      <c r="I63"/>
      <c r="J63"/>
      <c r="K63"/>
      <c r="L63"/>
      <c r="M63"/>
      <c r="N63"/>
      <c r="O63"/>
      <c r="P63"/>
      <c r="Q63"/>
    </row>
    <row r="64" spans="1:25">
      <c r="A64"/>
      <c r="B64"/>
      <c r="D64"/>
      <c r="F64"/>
      <c r="G64"/>
      <c r="H64" s="305"/>
      <c r="I64"/>
      <c r="J64"/>
      <c r="K64"/>
      <c r="L64"/>
      <c r="M64"/>
      <c r="N64"/>
      <c r="O64"/>
      <c r="P64"/>
      <c r="Q64"/>
      <c r="V64" s="456" t="s">
        <v>157</v>
      </c>
      <c r="W64" s="535">
        <f>W58+W53</f>
        <v>1292770.5699999998</v>
      </c>
    </row>
    <row r="65" spans="1:17">
      <c r="A65"/>
      <c r="B65"/>
      <c r="D65"/>
      <c r="F65"/>
      <c r="G65"/>
      <c r="H65" s="305"/>
      <c r="I65"/>
      <c r="J65"/>
      <c r="K65"/>
      <c r="L65"/>
      <c r="M65"/>
      <c r="N65"/>
      <c r="O65"/>
      <c r="P65"/>
      <c r="Q65"/>
    </row>
    <row r="66" spans="1:17">
      <c r="A66"/>
      <c r="B66"/>
      <c r="D66"/>
      <c r="F66"/>
      <c r="G66"/>
      <c r="H66" s="305"/>
      <c r="I66"/>
      <c r="J66"/>
      <c r="K66"/>
      <c r="L66"/>
      <c r="M66"/>
      <c r="N66"/>
      <c r="O66"/>
      <c r="P66"/>
      <c r="Q66"/>
    </row>
    <row r="67" spans="1:17">
      <c r="A67"/>
      <c r="B67"/>
      <c r="D67"/>
      <c r="F67"/>
      <c r="G67"/>
      <c r="H67" s="305"/>
      <c r="I67"/>
      <c r="J67"/>
      <c r="K67"/>
      <c r="L67"/>
      <c r="M67"/>
      <c r="N67"/>
      <c r="O67"/>
      <c r="P67"/>
      <c r="Q67"/>
    </row>
    <row r="68" spans="1:17">
      <c r="A68"/>
      <c r="B68"/>
      <c r="D68"/>
      <c r="F68"/>
      <c r="G68"/>
      <c r="H68" s="305"/>
      <c r="I68"/>
      <c r="J68"/>
      <c r="K68"/>
      <c r="L68"/>
      <c r="M68"/>
      <c r="N68"/>
      <c r="O68"/>
      <c r="P68"/>
      <c r="Q68"/>
    </row>
    <row r="69" spans="1:17">
      <c r="A69"/>
      <c r="B69"/>
      <c r="G69"/>
      <c r="H69"/>
      <c r="I69"/>
      <c r="J69"/>
      <c r="K69"/>
      <c r="L69"/>
      <c r="M69"/>
      <c r="N69"/>
      <c r="O69"/>
      <c r="P69"/>
      <c r="Q69"/>
    </row>
    <row r="70" spans="1:17">
      <c r="A70"/>
      <c r="B70"/>
      <c r="G70"/>
      <c r="H70"/>
      <c r="I70"/>
      <c r="J70"/>
      <c r="K70"/>
      <c r="L70"/>
      <c r="M70"/>
      <c r="N70"/>
      <c r="O70"/>
      <c r="P70"/>
      <c r="Q70"/>
    </row>
    <row r="71" spans="1:17">
      <c r="A71"/>
      <c r="B71"/>
      <c r="G71"/>
      <c r="H71"/>
      <c r="I71"/>
      <c r="J71"/>
      <c r="K71"/>
      <c r="L71"/>
      <c r="M71"/>
      <c r="N71"/>
      <c r="O71"/>
      <c r="P71"/>
      <c r="Q71"/>
    </row>
    <row r="72" spans="1:17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>
      <c r="B73"/>
      <c r="C73"/>
      <c r="D73"/>
      <c r="E73"/>
      <c r="F73"/>
      <c r="G73"/>
      <c r="H73"/>
      <c r="I73"/>
      <c r="J73"/>
      <c r="K73"/>
      <c r="L73"/>
      <c r="M73"/>
    </row>
    <row r="74" spans="1:17">
      <c r="B74"/>
      <c r="C74"/>
      <c r="D74"/>
      <c r="E74"/>
      <c r="F74"/>
      <c r="G74"/>
      <c r="H74"/>
      <c r="I74"/>
      <c r="J74"/>
      <c r="K74"/>
      <c r="L74"/>
      <c r="M74"/>
    </row>
    <row r="75" spans="1:17">
      <c r="B75"/>
      <c r="C75"/>
      <c r="D75"/>
      <c r="E75"/>
      <c r="F75"/>
      <c r="G75"/>
      <c r="H75"/>
      <c r="I75"/>
      <c r="J75"/>
      <c r="K75"/>
      <c r="L75"/>
      <c r="M75"/>
    </row>
    <row r="76" spans="1:17">
      <c r="B76"/>
      <c r="C76"/>
      <c r="D76"/>
      <c r="E76"/>
      <c r="F76"/>
      <c r="G76"/>
      <c r="H76"/>
      <c r="I76"/>
      <c r="J76"/>
      <c r="K76"/>
      <c r="L76"/>
      <c r="M76"/>
    </row>
    <row r="77" spans="1:17">
      <c r="B77"/>
      <c r="C77"/>
      <c r="D77"/>
      <c r="E77"/>
      <c r="F77"/>
      <c r="G77"/>
      <c r="H77"/>
      <c r="I77"/>
      <c r="J77"/>
      <c r="K77"/>
      <c r="L77"/>
      <c r="M77"/>
    </row>
    <row r="78" spans="1:17">
      <c r="B78"/>
      <c r="C78"/>
      <c r="D78"/>
      <c r="E78"/>
      <c r="F78"/>
      <c r="G78"/>
      <c r="H78"/>
      <c r="I78"/>
      <c r="J78"/>
      <c r="K78"/>
      <c r="L78"/>
      <c r="M78"/>
    </row>
    <row r="79" spans="1:17">
      <c r="B79"/>
      <c r="C79"/>
      <c r="D79"/>
      <c r="E79"/>
      <c r="F79"/>
      <c r="G79"/>
    </row>
    <row r="80" spans="1:17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AG147"/>
  <sheetViews>
    <sheetView zoomScale="55" zoomScaleNormal="55" zoomScalePageLayoutView="85" workbookViewId="0">
      <selection activeCell="W62" sqref="W62"/>
    </sheetView>
  </sheetViews>
  <sheetFormatPr defaultColWidth="8.85546875" defaultRowHeight="12.75" customHeight="1"/>
  <cols>
    <col min="1" max="1" width="10.140625" style="2" customWidth="1"/>
    <col min="2" max="2" width="24.7109375" style="2" customWidth="1"/>
    <col min="3" max="3" width="14.5703125" style="2" customWidth="1"/>
    <col min="4" max="4" width="10" style="2" bestFit="1" customWidth="1"/>
    <col min="5" max="5" width="11.42578125" style="2" customWidth="1"/>
    <col min="6" max="6" width="9.7109375" style="2" customWidth="1"/>
    <col min="7" max="7" width="9.85546875" style="2" customWidth="1"/>
    <col min="8" max="8" width="10.7109375" style="105" bestFit="1" customWidth="1"/>
    <col min="9" max="9" width="12.140625" style="105" customWidth="1"/>
    <col min="10" max="10" width="12" style="105" customWidth="1"/>
    <col min="11" max="11" width="12.140625" style="105" customWidth="1"/>
    <col min="12" max="12" width="12.28515625" style="105" customWidth="1"/>
    <col min="13" max="13" width="11.28515625" style="105" bestFit="1" customWidth="1"/>
    <col min="14" max="14" width="10.7109375" style="105" bestFit="1" customWidth="1"/>
    <col min="15" max="15" width="11.42578125" style="105" bestFit="1" customWidth="1"/>
    <col min="16" max="16" width="14.85546875" style="105" bestFit="1" customWidth="1"/>
    <col min="17" max="18" width="13.7109375" style="105" bestFit="1" customWidth="1"/>
    <col min="19" max="19" width="12.5703125" style="105" bestFit="1" customWidth="1"/>
    <col min="20" max="20" width="11" style="105" customWidth="1"/>
    <col min="21" max="21" width="10.7109375" style="105" customWidth="1"/>
    <col min="22" max="22" width="15.42578125" style="105" customWidth="1"/>
    <col min="23" max="23" width="17.140625" style="33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85546875" style="2" bestFit="1" customWidth="1"/>
    <col min="28" max="28" width="11.7109375" style="2" bestFit="1" customWidth="1"/>
    <col min="29" max="29" width="5.28515625" style="2" customWidth="1"/>
    <col min="30" max="30" width="23.42578125" style="2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 ht="12.75" customHeight="1">
      <c r="D1" s="695" t="s">
        <v>2</v>
      </c>
      <c r="E1" s="723"/>
      <c r="F1" s="696" t="s">
        <v>111</v>
      </c>
      <c r="G1" s="732"/>
      <c r="H1" s="733" t="s">
        <v>112</v>
      </c>
      <c r="I1" s="734"/>
      <c r="J1" s="734"/>
      <c r="K1" s="734"/>
      <c r="L1" s="734"/>
      <c r="M1" s="734"/>
      <c r="N1" s="734"/>
      <c r="O1" s="735"/>
      <c r="P1" s="736" t="s">
        <v>113</v>
      </c>
      <c r="Q1" s="736"/>
      <c r="R1" s="736"/>
      <c r="S1" s="736"/>
      <c r="T1" s="736"/>
      <c r="U1" s="736"/>
      <c r="V1" s="737"/>
      <c r="W1" s="112" t="s">
        <v>111</v>
      </c>
    </row>
    <row r="2" spans="1:33">
      <c r="A2" s="116" t="s">
        <v>91</v>
      </c>
      <c r="B2" s="31" t="s">
        <v>114</v>
      </c>
      <c r="C2" s="31" t="s">
        <v>115</v>
      </c>
      <c r="D2" s="137" t="s">
        <v>116</v>
      </c>
      <c r="E2" s="138" t="s">
        <v>117</v>
      </c>
      <c r="F2" s="135" t="s">
        <v>150</v>
      </c>
      <c r="G2" s="136" t="s">
        <v>153</v>
      </c>
      <c r="H2" s="688" t="s">
        <v>27</v>
      </c>
      <c r="I2" s="688" t="s">
        <v>66</v>
      </c>
      <c r="J2" s="688" t="s">
        <v>67</v>
      </c>
      <c r="K2" s="688" t="s">
        <v>25</v>
      </c>
      <c r="L2" s="688" t="s">
        <v>23</v>
      </c>
      <c r="M2" s="688" t="s">
        <v>119</v>
      </c>
      <c r="N2" s="688" t="s">
        <v>16</v>
      </c>
      <c r="O2" s="689" t="s">
        <v>69</v>
      </c>
      <c r="P2" s="685" t="s">
        <v>120</v>
      </c>
      <c r="Q2" s="686" t="s">
        <v>50</v>
      </c>
      <c r="R2" s="686" t="s">
        <v>121</v>
      </c>
      <c r="S2" s="686" t="s">
        <v>53</v>
      </c>
      <c r="T2" s="686" t="s">
        <v>57</v>
      </c>
      <c r="U2" s="686" t="s">
        <v>123</v>
      </c>
      <c r="V2" s="687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283"/>
      <c r="B3" s="287"/>
      <c r="C3" s="178"/>
      <c r="D3" s="663">
        <v>2000</v>
      </c>
      <c r="E3" s="664">
        <v>9400</v>
      </c>
      <c r="F3" s="586">
        <v>0</v>
      </c>
      <c r="G3" s="664">
        <v>0</v>
      </c>
      <c r="H3" s="665">
        <v>7939.0800000000017</v>
      </c>
      <c r="I3" s="665">
        <v>49090.000000000007</v>
      </c>
      <c r="J3" s="665">
        <v>152868</v>
      </c>
      <c r="K3" s="665">
        <v>60578.679999999993</v>
      </c>
      <c r="L3" s="665">
        <v>24245.91</v>
      </c>
      <c r="M3" s="665">
        <v>32000.370000000003</v>
      </c>
      <c r="N3" s="665">
        <v>4000</v>
      </c>
      <c r="O3" s="665">
        <v>33572.5</v>
      </c>
      <c r="P3" s="663">
        <v>213589</v>
      </c>
      <c r="Q3" s="665">
        <v>132109</v>
      </c>
      <c r="R3" s="665">
        <v>67829</v>
      </c>
      <c r="S3" s="665">
        <v>6585</v>
      </c>
      <c r="T3" s="665">
        <v>33181</v>
      </c>
      <c r="U3" s="665">
        <v>27298</v>
      </c>
      <c r="V3" s="664">
        <v>246316</v>
      </c>
      <c r="W3" s="666">
        <v>3882.48</v>
      </c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 s="342" customFormat="1">
      <c r="A4" s="340">
        <v>46143</v>
      </c>
      <c r="B4" s="369" t="s">
        <v>139</v>
      </c>
      <c r="C4" s="591" t="s">
        <v>22</v>
      </c>
      <c r="D4" s="377"/>
      <c r="E4" s="377">
        <v>-3688</v>
      </c>
      <c r="F4" s="187"/>
      <c r="G4" s="193"/>
      <c r="H4" s="188"/>
      <c r="I4" s="188">
        <v>456.91</v>
      </c>
      <c r="J4" s="188">
        <v>1000</v>
      </c>
      <c r="K4" s="188"/>
      <c r="L4" s="188"/>
      <c r="M4" s="188"/>
      <c r="N4" s="188"/>
      <c r="O4" s="188"/>
      <c r="P4" s="187"/>
      <c r="Q4" s="188"/>
      <c r="R4" s="188"/>
      <c r="S4" s="188"/>
      <c r="T4" s="188"/>
      <c r="U4" s="188"/>
      <c r="V4" s="193"/>
      <c r="W4" s="194"/>
      <c r="Y4" s="343" t="s">
        <v>8</v>
      </c>
      <c r="Z4" s="23">
        <f>Summary!W21</f>
        <v>350</v>
      </c>
      <c r="AA4" s="23">
        <f>SUMIF($C$2:$C$60,Y4,$F$2:$F$60)+SUMIF($C$2:$C$60,Y4,$G$2:$G$60)</f>
        <v>-381.99</v>
      </c>
      <c r="AB4" s="26">
        <f t="shared" ref="AB4:AB21" si="0">Z4+AA4</f>
        <v>-31.990000000000009</v>
      </c>
      <c r="AD4" s="343"/>
      <c r="AE4" s="19"/>
      <c r="AF4" s="410"/>
    </row>
    <row r="5" spans="1:33" s="342" customFormat="1">
      <c r="A5" s="340">
        <v>46143</v>
      </c>
      <c r="B5" s="341" t="s">
        <v>140</v>
      </c>
      <c r="C5" s="591" t="s">
        <v>12</v>
      </c>
      <c r="D5" s="377"/>
      <c r="E5" s="377">
        <v>-275</v>
      </c>
      <c r="F5" s="187"/>
      <c r="G5" s="193"/>
      <c r="H5" s="188"/>
      <c r="I5" s="188"/>
      <c r="J5" s="188"/>
      <c r="K5" s="188"/>
      <c r="L5" s="188"/>
      <c r="M5" s="188"/>
      <c r="N5" s="188"/>
      <c r="O5" s="188"/>
      <c r="P5" s="187"/>
      <c r="Q5" s="188"/>
      <c r="R5" s="188"/>
      <c r="S5" s="188"/>
      <c r="T5" s="188"/>
      <c r="U5" s="188"/>
      <c r="V5" s="193"/>
      <c r="W5" s="194"/>
      <c r="Y5" s="343" t="s">
        <v>9</v>
      </c>
      <c r="Z5" s="23">
        <f>Summary!W22</f>
        <v>335</v>
      </c>
      <c r="AA5" s="23">
        <f>SUMIF($C$2:$C$60,Y5,$F$2:$F$60)+SUMIF($C$2:$C$60,Y5,$G$2:$G$60)</f>
        <v>-358.67</v>
      </c>
      <c r="AB5" s="26">
        <f t="shared" si="0"/>
        <v>-23.670000000000016</v>
      </c>
      <c r="AD5" s="390" t="s">
        <v>128</v>
      </c>
      <c r="AE5" s="19"/>
      <c r="AF5" s="344"/>
    </row>
    <row r="6" spans="1:33" s="342" customFormat="1">
      <c r="A6" s="340">
        <v>46143</v>
      </c>
      <c r="B6" s="341" t="s">
        <v>24</v>
      </c>
      <c r="C6" s="591" t="s">
        <v>24</v>
      </c>
      <c r="D6" s="377"/>
      <c r="E6" s="377">
        <v>-500</v>
      </c>
      <c r="F6" s="187"/>
      <c r="G6" s="193"/>
      <c r="H6" s="188"/>
      <c r="I6" s="188"/>
      <c r="J6" s="188"/>
      <c r="K6" s="188"/>
      <c r="L6" s="188"/>
      <c r="M6" s="188"/>
      <c r="N6" s="188"/>
      <c r="O6" s="188"/>
      <c r="P6" s="187"/>
      <c r="Q6" s="188"/>
      <c r="R6" s="188"/>
      <c r="S6" s="188"/>
      <c r="T6" s="188"/>
      <c r="U6" s="188"/>
      <c r="V6" s="193"/>
      <c r="W6" s="194"/>
      <c r="Y6" s="343" t="s">
        <v>10</v>
      </c>
      <c r="Z6" s="23">
        <f>Summary!W23</f>
        <v>20</v>
      </c>
      <c r="AA6" s="23">
        <f>SUMIF($C$2:$C$60,Y6,$F$2:$F$60)+SUMIF($C$2:$C$60,Y6,$G$2:$G$60)</f>
        <v>0</v>
      </c>
      <c r="AB6" s="26">
        <f t="shared" si="0"/>
        <v>20</v>
      </c>
      <c r="AD6" s="343" t="s">
        <v>49</v>
      </c>
      <c r="AE6" s="22"/>
      <c r="AF6" s="344"/>
    </row>
    <row r="7" spans="1:33" s="342" customFormat="1">
      <c r="A7" s="340">
        <v>46143</v>
      </c>
      <c r="B7" s="341" t="s">
        <v>22</v>
      </c>
      <c r="C7" s="591" t="s">
        <v>22</v>
      </c>
      <c r="D7" s="377"/>
      <c r="E7" s="377">
        <v>-4250</v>
      </c>
      <c r="F7" s="187"/>
      <c r="G7" s="193"/>
      <c r="H7" s="188"/>
      <c r="I7" s="188"/>
      <c r="J7" s="188"/>
      <c r="K7" s="188"/>
      <c r="L7" s="188"/>
      <c r="M7" s="188"/>
      <c r="N7" s="188"/>
      <c r="O7" s="188"/>
      <c r="P7" s="187"/>
      <c r="Q7" s="188"/>
      <c r="R7" s="188"/>
      <c r="S7" s="188"/>
      <c r="T7" s="188"/>
      <c r="U7" s="188"/>
      <c r="V7" s="193"/>
      <c r="W7" s="194"/>
      <c r="Y7" s="345" t="s">
        <v>11</v>
      </c>
      <c r="Z7" s="23">
        <f>Summary!W24</f>
        <v>300</v>
      </c>
      <c r="AA7" s="23">
        <f>SUMIF($C$2:$C$60,Y7,$F$2:$F$60)+SUMIF($C$2:$C$60,Y7,$G$2:$G$60)</f>
        <v>-262</v>
      </c>
      <c r="AB7" s="26">
        <f t="shared" si="0"/>
        <v>38</v>
      </c>
      <c r="AD7" s="343" t="s">
        <v>111</v>
      </c>
      <c r="AE7" s="23"/>
      <c r="AF7" s="344"/>
    </row>
    <row r="8" spans="1:33">
      <c r="A8" s="340">
        <v>46143</v>
      </c>
      <c r="B8" s="341" t="s">
        <v>22</v>
      </c>
      <c r="C8" s="591" t="s">
        <v>22</v>
      </c>
      <c r="D8" s="377"/>
      <c r="E8" s="377">
        <v>3800</v>
      </c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93"/>
      <c r="W8" s="194"/>
      <c r="Y8" s="18" t="s">
        <v>12</v>
      </c>
      <c r="Z8" s="23">
        <f>Summary!W25</f>
        <v>700</v>
      </c>
      <c r="AA8" s="23">
        <f>SUMIF($C$2:$C$60,Y8,$F$2:$F$60)+SUMIF($C$2:$C$60,Y8,$G$2:$G$60)+E5+E45+E50</f>
        <v>-642.05999999999995</v>
      </c>
      <c r="AB8" s="26">
        <f t="shared" si="0"/>
        <v>57.940000000000055</v>
      </c>
      <c r="AD8" s="18" t="s">
        <v>131</v>
      </c>
      <c r="AE8" s="22">
        <f>R39</f>
        <v>300</v>
      </c>
      <c r="AF8" s="20"/>
    </row>
    <row r="9" spans="1:33">
      <c r="A9" s="284">
        <v>46145</v>
      </c>
      <c r="B9" s="289" t="s">
        <v>17</v>
      </c>
      <c r="C9" s="186" t="s">
        <v>17</v>
      </c>
      <c r="D9" s="187"/>
      <c r="E9" s="188"/>
      <c r="F9" s="187">
        <f>-400+120</f>
        <v>-280</v>
      </c>
      <c r="G9" s="193">
        <v>-277</v>
      </c>
      <c r="H9" s="188"/>
      <c r="I9" s="188"/>
      <c r="J9" s="188"/>
      <c r="K9" s="188"/>
      <c r="L9" s="188"/>
      <c r="N9" s="188"/>
      <c r="O9" s="188"/>
      <c r="P9" s="187"/>
      <c r="Q9" s="188"/>
      <c r="R9" s="188"/>
      <c r="S9" s="188"/>
      <c r="T9" s="188"/>
      <c r="U9" s="188"/>
      <c r="V9" s="194"/>
      <c r="W9" s="194"/>
      <c r="Y9" s="18" t="s">
        <v>13</v>
      </c>
      <c r="Z9" s="23">
        <f>Summary!W26</f>
        <v>1300</v>
      </c>
      <c r="AA9" s="23">
        <f>SUMIF($C$2:$C$60,Y9,$F$2:$F$60)+SUMIF($C$2:$C$60,Y9,$G$2:$G$60)</f>
        <v>-1470.7</v>
      </c>
      <c r="AB9" s="26">
        <f t="shared" si="0"/>
        <v>-170.70000000000005</v>
      </c>
      <c r="AD9" s="18" t="s">
        <v>124</v>
      </c>
      <c r="AE9" s="22"/>
      <c r="AF9" s="20"/>
    </row>
    <row r="10" spans="1:33" s="342" customFormat="1">
      <c r="A10" s="340">
        <v>46145</v>
      </c>
      <c r="B10" s="341" t="s">
        <v>158</v>
      </c>
      <c r="C10" s="186" t="s">
        <v>21</v>
      </c>
      <c r="D10" s="187"/>
      <c r="E10" s="188"/>
      <c r="F10" s="187">
        <v>-306</v>
      </c>
      <c r="G10" s="193"/>
      <c r="H10" s="188"/>
      <c r="I10" s="188"/>
      <c r="J10" s="188"/>
      <c r="K10" s="188"/>
      <c r="L10" s="188"/>
      <c r="M10" s="188"/>
      <c r="N10" s="188"/>
      <c r="O10" s="188"/>
      <c r="P10" s="187"/>
      <c r="Q10" s="188"/>
      <c r="R10" s="188"/>
      <c r="S10" s="188"/>
      <c r="T10" s="188"/>
      <c r="U10" s="188"/>
      <c r="V10" s="193"/>
      <c r="W10" s="194"/>
      <c r="Y10" s="343" t="s">
        <v>14</v>
      </c>
      <c r="Z10" s="23">
        <f>Summary!W27</f>
        <v>150</v>
      </c>
      <c r="AA10" s="23">
        <f>SUMIF($C$2:$C$60,Y10,$F$2:$F$60)+SUMIF($C$2:$C$60,Y10,$G$2:$G$60)</f>
        <v>-180</v>
      </c>
      <c r="AB10" s="26">
        <f t="shared" si="0"/>
        <v>-30</v>
      </c>
      <c r="AD10" s="390" t="s">
        <v>29</v>
      </c>
      <c r="AE10" s="637">
        <f>SUM(AE6:AE9)</f>
        <v>300</v>
      </c>
      <c r="AF10" s="344"/>
    </row>
    <row r="11" spans="1:33">
      <c r="A11" s="340">
        <v>46145</v>
      </c>
      <c r="B11" s="341" t="s">
        <v>159</v>
      </c>
      <c r="C11" s="186" t="s">
        <v>21</v>
      </c>
      <c r="D11" s="187"/>
      <c r="E11" s="188"/>
      <c r="F11" s="187">
        <v>-50</v>
      </c>
      <c r="G11" s="193"/>
      <c r="H11" s="188"/>
      <c r="I11" s="188"/>
      <c r="J11" s="188"/>
      <c r="K11" s="188"/>
      <c r="L11" s="188"/>
      <c r="M11" s="188"/>
      <c r="N11" s="188"/>
      <c r="O11" s="188"/>
      <c r="P11" s="187"/>
      <c r="Q11" s="188"/>
      <c r="R11" s="188"/>
      <c r="S11" s="188"/>
      <c r="T11" s="188"/>
      <c r="U11" s="188"/>
      <c r="V11" s="193"/>
      <c r="W11" s="194"/>
      <c r="Y11" s="18" t="s">
        <v>15</v>
      </c>
      <c r="Z11" s="23">
        <f>Summary!W28</f>
        <v>200</v>
      </c>
      <c r="AA11" s="23">
        <f>SUMIF($C$2:$C$60,Y11,$F$2:$F$60)+SUMIF($C$2:$C$60,Y11,$G$2:$G$60)</f>
        <v>-481</v>
      </c>
      <c r="AB11" s="26">
        <f>Z11+AA11</f>
        <v>-281</v>
      </c>
      <c r="AD11" s="124"/>
      <c r="AE11"/>
      <c r="AF11" s="125"/>
    </row>
    <row r="12" spans="1:33" s="342" customFormat="1">
      <c r="A12" s="340">
        <v>46145</v>
      </c>
      <c r="B12" s="341" t="s">
        <v>160</v>
      </c>
      <c r="C12" s="186" t="s">
        <v>21</v>
      </c>
      <c r="D12" s="187"/>
      <c r="E12" s="188"/>
      <c r="F12" s="187">
        <v>-50</v>
      </c>
      <c r="G12" s="193"/>
      <c r="H12" s="188"/>
      <c r="I12" s="188"/>
      <c r="J12" s="188"/>
      <c r="K12" s="188"/>
      <c r="L12" s="188"/>
      <c r="M12" s="188"/>
      <c r="N12" s="188"/>
      <c r="O12" s="188"/>
      <c r="P12" s="187"/>
      <c r="Q12" s="188"/>
      <c r="R12" s="188"/>
      <c r="S12" s="188"/>
      <c r="T12" s="188"/>
      <c r="U12" s="188"/>
      <c r="V12" s="193"/>
      <c r="W12" s="194"/>
      <c r="Y12" s="343" t="s">
        <v>16</v>
      </c>
      <c r="Z12" s="23">
        <f>Summary!W29</f>
        <v>500</v>
      </c>
      <c r="AA12" s="23">
        <f>SUMIF($C$2:$C$60,Y12,$F$2:$F$60)+SUMIF($C$2:$C$60,Y12,$G$2:$G$60)</f>
        <v>-590.84</v>
      </c>
      <c r="AB12" s="26">
        <f>Z12+AA12</f>
        <v>-90.840000000000032</v>
      </c>
      <c r="AD12" s="370"/>
      <c r="AE12" s="371"/>
      <c r="AF12" s="372"/>
    </row>
    <row r="13" spans="1:33">
      <c r="A13" s="340">
        <v>46145</v>
      </c>
      <c r="B13" s="341" t="s">
        <v>15</v>
      </c>
      <c r="C13" s="186" t="s">
        <v>15</v>
      </c>
      <c r="D13" s="187"/>
      <c r="E13" s="188"/>
      <c r="F13" s="187">
        <v>-119</v>
      </c>
      <c r="G13" s="193"/>
      <c r="H13" s="188"/>
      <c r="I13" s="188"/>
      <c r="J13" s="188"/>
      <c r="K13" s="188"/>
      <c r="L13" s="188"/>
      <c r="M13" s="188"/>
      <c r="N13" s="188"/>
      <c r="O13" s="188"/>
      <c r="P13" s="187"/>
      <c r="Q13" s="188"/>
      <c r="R13" s="188"/>
      <c r="S13" s="188"/>
      <c r="T13" s="188"/>
      <c r="U13" s="188"/>
      <c r="V13" s="193"/>
      <c r="W13" s="194"/>
      <c r="Y13" s="18" t="s">
        <v>17</v>
      </c>
      <c r="Z13" s="23">
        <f>Summary!W30</f>
        <v>1000</v>
      </c>
      <c r="AA13" s="23">
        <f>SUMIF($C$2:$C$60,Y13,$F$2:$F$60)+SUMIF($C$2:$C$60,Y13,$G$2:$G$60)</f>
        <v>-1171.31</v>
      </c>
      <c r="AB13" s="26">
        <f t="shared" si="0"/>
        <v>-171.30999999999995</v>
      </c>
      <c r="AD13" s="18"/>
      <c r="AE13" s="24"/>
      <c r="AF13" s="20"/>
    </row>
    <row r="14" spans="1:33" s="342" customFormat="1">
      <c r="A14" s="340">
        <v>46145</v>
      </c>
      <c r="B14" s="341" t="s">
        <v>14</v>
      </c>
      <c r="C14" s="186" t="s">
        <v>14</v>
      </c>
      <c r="D14" s="187"/>
      <c r="E14" s="188">
        <v>130</v>
      </c>
      <c r="F14" s="187">
        <f>-130-50</f>
        <v>-180</v>
      </c>
      <c r="G14" s="193"/>
      <c r="H14" s="188"/>
      <c r="I14" s="188"/>
      <c r="J14" s="195"/>
      <c r="K14" s="188"/>
      <c r="L14" s="188"/>
      <c r="M14" s="188"/>
      <c r="N14" s="188"/>
      <c r="O14" s="188"/>
      <c r="P14" s="187"/>
      <c r="Q14" s="188"/>
      <c r="R14" s="188"/>
      <c r="S14" s="188"/>
      <c r="T14" s="188"/>
      <c r="U14" s="188"/>
      <c r="V14" s="193"/>
      <c r="W14" s="194"/>
      <c r="Y14" s="343" t="s">
        <v>18</v>
      </c>
      <c r="Z14" s="23">
        <f>Summary!W31</f>
        <v>200</v>
      </c>
      <c r="AA14" s="23">
        <f>SUMIF($C$2:$C$60,Y14,$F$2:$F$60)+SUMIF($C$2:$C$60,Y14,$G$2:$G$60)</f>
        <v>-259</v>
      </c>
      <c r="AB14" s="26">
        <f t="shared" si="0"/>
        <v>-59</v>
      </c>
      <c r="AD14" s="390" t="s">
        <v>132</v>
      </c>
      <c r="AE14" s="19"/>
      <c r="AF14" s="344"/>
    </row>
    <row r="15" spans="1:33" s="342" customFormat="1">
      <c r="A15" s="340">
        <v>46145</v>
      </c>
      <c r="B15" s="341" t="s">
        <v>17</v>
      </c>
      <c r="C15" s="186" t="s">
        <v>17</v>
      </c>
      <c r="D15" s="187"/>
      <c r="E15" s="188"/>
      <c r="F15" s="187">
        <v>-120</v>
      </c>
      <c r="G15" s="193"/>
      <c r="H15" s="188"/>
      <c r="I15" s="188"/>
      <c r="J15" s="188"/>
      <c r="K15" s="188"/>
      <c r="L15" s="188"/>
      <c r="M15" s="188"/>
      <c r="N15" s="188"/>
      <c r="O15" s="188"/>
      <c r="P15" s="187"/>
      <c r="Q15" s="188"/>
      <c r="R15" s="188"/>
      <c r="S15" s="188"/>
      <c r="T15" s="188"/>
      <c r="U15" s="188"/>
      <c r="V15" s="193"/>
      <c r="W15" s="194"/>
      <c r="Y15" s="343" t="s">
        <v>19</v>
      </c>
      <c r="Z15" s="23">
        <f>Summary!W32</f>
        <v>0</v>
      </c>
      <c r="AA15" s="23">
        <f>SUMIF($C$2:$C$60,Y15,$F$2:$F$60)+SUMIF($C$2:$C$60,Y15,$G$2:$G$60)</f>
        <v>0</v>
      </c>
      <c r="AB15" s="26">
        <f t="shared" si="0"/>
        <v>0</v>
      </c>
      <c r="AD15" s="343" t="s">
        <v>49</v>
      </c>
      <c r="AE15" s="23">
        <f>P61</f>
        <v>0</v>
      </c>
      <c r="AF15" s="344"/>
    </row>
    <row r="16" spans="1:33" s="342" customFormat="1">
      <c r="A16" s="340">
        <v>46145</v>
      </c>
      <c r="B16" s="341" t="s">
        <v>13</v>
      </c>
      <c r="C16" s="186" t="s">
        <v>13</v>
      </c>
      <c r="D16" s="187"/>
      <c r="E16" s="188"/>
      <c r="F16" s="187">
        <v>-300</v>
      </c>
      <c r="G16" s="193">
        <f>-40-7-62-20</f>
        <v>-129</v>
      </c>
      <c r="H16" s="188"/>
      <c r="I16" s="188"/>
      <c r="J16" s="188"/>
      <c r="K16" s="188"/>
      <c r="L16" s="188"/>
      <c r="M16" s="188"/>
      <c r="N16" s="188"/>
      <c r="O16" s="193"/>
      <c r="P16" s="187"/>
      <c r="Q16" s="188"/>
      <c r="R16" s="188"/>
      <c r="S16" s="188"/>
      <c r="T16" s="188"/>
      <c r="U16" s="188"/>
      <c r="V16" s="193"/>
      <c r="W16" s="194"/>
      <c r="Y16" s="343" t="s">
        <v>20</v>
      </c>
      <c r="Z16" s="23">
        <f>Summary!W33</f>
        <v>500</v>
      </c>
      <c r="AA16" s="23">
        <f>SUMIF($C$2:$C$60,Y16,$F$2:$F$60)+SUMIF($C$2:$C$60,Y16,$G$2:$G$60)</f>
        <v>-50</v>
      </c>
      <c r="AB16" s="26">
        <f t="shared" si="0"/>
        <v>450</v>
      </c>
      <c r="AD16" s="343" t="s">
        <v>50</v>
      </c>
      <c r="AE16" s="23">
        <f>Q61</f>
        <v>0</v>
      </c>
      <c r="AF16" s="344"/>
    </row>
    <row r="17" spans="1:32" s="342" customFormat="1">
      <c r="A17" s="340">
        <v>46145</v>
      </c>
      <c r="B17" s="341" t="s">
        <v>26</v>
      </c>
      <c r="C17" s="186" t="s">
        <v>26</v>
      </c>
      <c r="D17" s="187"/>
      <c r="E17" s="188"/>
      <c r="F17" s="187">
        <f>-100-75-36-32.3-13</f>
        <v>-256.3</v>
      </c>
      <c r="G17" s="193"/>
      <c r="H17" s="188"/>
      <c r="I17" s="188"/>
      <c r="J17" s="188"/>
      <c r="K17" s="188"/>
      <c r="L17" s="188"/>
      <c r="M17" s="188"/>
      <c r="N17" s="188"/>
      <c r="O17" s="193"/>
      <c r="P17" s="187"/>
      <c r="Q17" s="188"/>
      <c r="R17" s="188"/>
      <c r="S17" s="188"/>
      <c r="T17" s="188"/>
      <c r="U17" s="188"/>
      <c r="V17" s="193"/>
      <c r="W17" s="194"/>
      <c r="Y17" s="343" t="s">
        <v>21</v>
      </c>
      <c r="Z17" s="23">
        <f>Summary!W34</f>
        <v>800</v>
      </c>
      <c r="AA17" s="23">
        <f>SUMIF($C$2:$C$60,Y17,$F$2:$F$60)+SUMIF($C$2:$C$60,Y17,$G$2:$G$60)+E18</f>
        <v>-909.27</v>
      </c>
      <c r="AB17" s="26">
        <f t="shared" si="0"/>
        <v>-109.26999999999998</v>
      </c>
      <c r="AD17" s="343" t="s">
        <v>131</v>
      </c>
      <c r="AE17" s="23">
        <f>R61</f>
        <v>3765</v>
      </c>
      <c r="AF17" s="344"/>
    </row>
    <row r="18" spans="1:32" s="342" customFormat="1">
      <c r="A18" s="340">
        <v>46147</v>
      </c>
      <c r="B18" s="341" t="s">
        <v>161</v>
      </c>
      <c r="C18" s="186" t="s">
        <v>21</v>
      </c>
      <c r="D18" s="187"/>
      <c r="E18" s="188">
        <v>-50</v>
      </c>
      <c r="F18" s="187"/>
      <c r="G18" s="193"/>
      <c r="H18" s="188"/>
      <c r="I18" s="188"/>
      <c r="J18" s="188"/>
      <c r="K18" s="188"/>
      <c r="L18" s="188"/>
      <c r="M18" s="188"/>
      <c r="N18" s="188"/>
      <c r="O18" s="193"/>
      <c r="P18" s="187"/>
      <c r="Q18" s="188"/>
      <c r="R18" s="188"/>
      <c r="S18" s="188"/>
      <c r="T18" s="188"/>
      <c r="U18" s="188"/>
      <c r="V18" s="193"/>
      <c r="W18" s="194"/>
      <c r="Y18" s="343" t="s">
        <v>22</v>
      </c>
      <c r="Z18" s="23">
        <f>Summary!W35</f>
        <v>4100</v>
      </c>
      <c r="AA18" s="23">
        <f>SUMIF($C$2:$C$60,Y18,$F$2:$F$60)+SUMIF($C$2:$C$60,Y18,$G$2:$G$60)+E4+E7+E8</f>
        <v>-4138</v>
      </c>
      <c r="AB18" s="26">
        <f t="shared" si="0"/>
        <v>-38</v>
      </c>
      <c r="AD18" s="343" t="s">
        <v>53</v>
      </c>
      <c r="AE18" s="23">
        <f>S61</f>
        <v>535</v>
      </c>
      <c r="AF18" s="344"/>
    </row>
    <row r="19" spans="1:32" s="342" customFormat="1">
      <c r="A19" s="340">
        <v>46147</v>
      </c>
      <c r="B19" s="369" t="s">
        <v>17</v>
      </c>
      <c r="C19" s="186" t="s">
        <v>17</v>
      </c>
      <c r="D19" s="187"/>
      <c r="E19" s="188"/>
      <c r="F19" s="187">
        <v>-45</v>
      </c>
      <c r="G19" s="193">
        <f>-23-40-90-50-50-73.21-48-75.1</f>
        <v>-449.30999999999995</v>
      </c>
      <c r="H19" s="188"/>
      <c r="I19" s="188"/>
      <c r="J19" s="188"/>
      <c r="K19" s="188"/>
      <c r="L19" s="188"/>
      <c r="M19" s="188"/>
      <c r="N19" s="188"/>
      <c r="O19" s="193"/>
      <c r="P19" s="187"/>
      <c r="Q19" s="188"/>
      <c r="R19" s="188"/>
      <c r="S19" s="188"/>
      <c r="T19" s="188"/>
      <c r="U19" s="188"/>
      <c r="V19" s="193"/>
      <c r="W19" s="194"/>
      <c r="Y19" s="343" t="s">
        <v>23</v>
      </c>
      <c r="Z19" s="23">
        <f>Summary!W36</f>
        <v>500</v>
      </c>
      <c r="AA19" s="23">
        <f>SUMIF($C$2:$C$60,Y19,$F$2:$F$60)+SUMIF($C$2:$C$60,Y19,$G$2:$G$60)</f>
        <v>-142</v>
      </c>
      <c r="AB19" s="26">
        <f t="shared" si="0"/>
        <v>358</v>
      </c>
      <c r="AD19" s="343" t="s">
        <v>124</v>
      </c>
      <c r="AE19" s="23">
        <f>V61</f>
        <v>10181</v>
      </c>
      <c r="AF19" s="344"/>
    </row>
    <row r="20" spans="1:32" s="342" customFormat="1">
      <c r="A20" s="340">
        <v>46147</v>
      </c>
      <c r="B20" s="341" t="s">
        <v>16</v>
      </c>
      <c r="C20" s="186" t="s">
        <v>16</v>
      </c>
      <c r="D20" s="187"/>
      <c r="E20" s="193"/>
      <c r="F20" s="187">
        <f>-220-45</f>
        <v>-265</v>
      </c>
      <c r="G20" s="193">
        <f>-122.84-33-170</f>
        <v>-325.84000000000003</v>
      </c>
      <c r="H20" s="188"/>
      <c r="I20" s="188"/>
      <c r="J20" s="188"/>
      <c r="K20" s="188"/>
      <c r="L20" s="188"/>
      <c r="M20" s="188"/>
      <c r="N20" s="188"/>
      <c r="O20" s="193"/>
      <c r="P20" s="187"/>
      <c r="Q20" s="188"/>
      <c r="R20" s="188"/>
      <c r="S20" s="188"/>
      <c r="T20" s="188"/>
      <c r="U20" s="188"/>
      <c r="V20" s="193"/>
      <c r="W20" s="194"/>
      <c r="Y20" s="343" t="s">
        <v>24</v>
      </c>
      <c r="Z20" s="23">
        <f>Summary!W37</f>
        <v>500</v>
      </c>
      <c r="AA20" s="23">
        <f>SUMIF($C$2:$C$60,Y20,$F$2:$F$60)+SUMIF($C$2:$C$60,Y20,$G$2:$G$60)+E6+E27</f>
        <v>-845</v>
      </c>
      <c r="AB20" s="26">
        <f t="shared" si="0"/>
        <v>-345</v>
      </c>
      <c r="AD20" s="343" t="s">
        <v>133</v>
      </c>
      <c r="AE20" s="104">
        <f>SUM(W61:W61)</f>
        <v>146.44</v>
      </c>
      <c r="AF20" s="344"/>
    </row>
    <row r="21" spans="1:32" s="342" customFormat="1">
      <c r="A21" s="340">
        <v>46149</v>
      </c>
      <c r="B21" s="341" t="s">
        <v>162</v>
      </c>
      <c r="C21" s="186" t="s">
        <v>162</v>
      </c>
      <c r="D21" s="187"/>
      <c r="E21" s="193">
        <v>519</v>
      </c>
      <c r="F21" s="187">
        <v>-520</v>
      </c>
      <c r="G21" s="193"/>
      <c r="H21" s="188"/>
      <c r="I21" s="188"/>
      <c r="J21" s="188"/>
      <c r="K21" s="188"/>
      <c r="L21" s="188"/>
      <c r="M21" s="188"/>
      <c r="N21" s="188"/>
      <c r="O21" s="193"/>
      <c r="P21" s="187"/>
      <c r="Q21" s="188"/>
      <c r="R21" s="188"/>
      <c r="S21" s="188"/>
      <c r="T21" s="188"/>
      <c r="U21" s="188"/>
      <c r="V21" s="193"/>
      <c r="W21" s="194"/>
      <c r="Y21" s="343" t="s">
        <v>25</v>
      </c>
      <c r="Z21" s="23">
        <f>Summary!W38</f>
        <v>0</v>
      </c>
      <c r="AA21" s="23">
        <f>SUMIF($C$2:$C$60,Y21,$F$2:$F$60)+SUMIF($C$2:$C$60,Y21,$G$2:$G$60)</f>
        <v>0</v>
      </c>
      <c r="AB21" s="26">
        <f t="shared" si="0"/>
        <v>0</v>
      </c>
      <c r="AD21" s="390" t="s">
        <v>29</v>
      </c>
      <c r="AE21" s="637">
        <f>SUM(AE15:AE20)</f>
        <v>14627.44</v>
      </c>
      <c r="AF21" s="344"/>
    </row>
    <row r="22" spans="1:32" s="342" customFormat="1">
      <c r="A22" s="340">
        <v>46148</v>
      </c>
      <c r="B22" s="341" t="s">
        <v>163</v>
      </c>
      <c r="C22" s="186" t="s">
        <v>18</v>
      </c>
      <c r="D22" s="187"/>
      <c r="E22" s="193"/>
      <c r="F22" s="187">
        <f>-27-27</f>
        <v>-54</v>
      </c>
      <c r="G22" s="193"/>
      <c r="H22" s="188"/>
      <c r="I22" s="188"/>
      <c r="J22" s="188"/>
      <c r="K22" s="188"/>
      <c r="L22" s="188"/>
      <c r="M22" s="188"/>
      <c r="N22" s="188"/>
      <c r="O22" s="193"/>
      <c r="P22" s="187"/>
      <c r="Q22" s="188"/>
      <c r="R22" s="188"/>
      <c r="S22" s="188"/>
      <c r="T22" s="188"/>
      <c r="U22" s="188"/>
      <c r="V22" s="193"/>
      <c r="W22" s="194"/>
      <c r="Y22" s="343" t="s">
        <v>26</v>
      </c>
      <c r="Z22" s="23">
        <f>Summary!W39</f>
        <v>500</v>
      </c>
      <c r="AA22" s="23">
        <f>SUMIF($C$2:$C$60,Y22,$F$2:$F$60)+SUMIF($C$2:$C$60,Y22,$G$2:$G$60)</f>
        <v>-508.3</v>
      </c>
      <c r="AB22" s="26">
        <f>Z22+AA22</f>
        <v>-8.3000000000000114</v>
      </c>
      <c r="AD22" s="370"/>
      <c r="AE22" s="371"/>
      <c r="AF22" s="372"/>
    </row>
    <row r="23" spans="1:32" s="342" customFormat="1">
      <c r="A23" s="340">
        <v>46148</v>
      </c>
      <c r="B23" s="341" t="s">
        <v>28</v>
      </c>
      <c r="C23" s="22" t="s">
        <v>141</v>
      </c>
      <c r="D23" s="378"/>
      <c r="E23" s="377">
        <v>-880</v>
      </c>
      <c r="F23" s="378"/>
      <c r="G23" s="379"/>
      <c r="H23" s="377"/>
      <c r="I23" s="377"/>
      <c r="J23" s="377"/>
      <c r="K23" s="377"/>
      <c r="L23" s="377"/>
      <c r="M23" s="377"/>
      <c r="N23" s="377"/>
      <c r="O23" s="377"/>
      <c r="P23" s="378"/>
      <c r="Q23" s="377"/>
      <c r="R23" s="377"/>
      <c r="S23" s="377"/>
      <c r="T23" s="377"/>
      <c r="U23" s="377"/>
      <c r="V23" s="380"/>
      <c r="W23" s="380"/>
      <c r="Y23" s="343" t="s">
        <v>27</v>
      </c>
      <c r="Z23" s="23">
        <f>Summary!W40</f>
        <v>0</v>
      </c>
      <c r="AA23" s="23">
        <f>SUMIF($C$2:$C$60,Y23,$F$2:$F$60)+SUMIF($C$2:$C$60,Y23,$G$2:$G$60)</f>
        <v>-65</v>
      </c>
      <c r="AB23" s="26">
        <f>Z23+AA23</f>
        <v>-65</v>
      </c>
      <c r="AD23" s="370"/>
      <c r="AE23" s="371"/>
      <c r="AF23" s="372"/>
    </row>
    <row r="24" spans="1:32" s="342" customFormat="1">
      <c r="A24" s="340">
        <v>46148</v>
      </c>
      <c r="B24" s="341" t="s">
        <v>147</v>
      </c>
      <c r="C24" s="186" t="s">
        <v>8</v>
      </c>
      <c r="D24" s="187"/>
      <c r="E24" s="193"/>
      <c r="F24" s="187">
        <v>-47</v>
      </c>
      <c r="G24" s="193"/>
      <c r="H24" s="188"/>
      <c r="I24" s="188"/>
      <c r="J24" s="188"/>
      <c r="K24" s="188"/>
      <c r="L24" s="188"/>
      <c r="M24" s="188"/>
      <c r="N24" s="188"/>
      <c r="O24" s="193"/>
      <c r="P24" s="187"/>
      <c r="Q24" s="188"/>
      <c r="R24" s="188"/>
      <c r="S24" s="188"/>
      <c r="T24" s="188"/>
      <c r="U24" s="188"/>
      <c r="V24" s="188"/>
      <c r="W24" s="191"/>
      <c r="Y24" s="343" t="s">
        <v>28</v>
      </c>
      <c r="Z24" s="23">
        <f>Summary!W41</f>
        <v>900</v>
      </c>
      <c r="AA24" s="23">
        <f>SUMIF($C$2:$C$60,Y24,$F$2:$F$60)+SUMIF($C$2:$C$60,Y24,$G$2:$G$60)+E23+E44</f>
        <v>-1245</v>
      </c>
      <c r="AB24" s="26">
        <f>Z24+AA24</f>
        <v>-345</v>
      </c>
      <c r="AD24" s="370"/>
      <c r="AE24" s="371"/>
      <c r="AF24" s="372"/>
    </row>
    <row r="25" spans="1:32" s="342" customFormat="1">
      <c r="A25" s="340">
        <v>46150</v>
      </c>
      <c r="B25" s="341" t="s">
        <v>15</v>
      </c>
      <c r="C25" s="186" t="s">
        <v>15</v>
      </c>
      <c r="D25" s="187"/>
      <c r="E25" s="193"/>
      <c r="F25" s="187">
        <f>-115-5-10-4-113-7</f>
        <v>-254</v>
      </c>
      <c r="G25" s="193"/>
      <c r="H25" s="188"/>
      <c r="I25" s="188"/>
      <c r="J25" s="188"/>
      <c r="K25" s="188"/>
      <c r="L25" s="188"/>
      <c r="M25" s="188"/>
      <c r="N25" s="188"/>
      <c r="O25" s="193"/>
      <c r="P25" s="187"/>
      <c r="Q25" s="188"/>
      <c r="R25" s="188"/>
      <c r="S25" s="188"/>
      <c r="T25" s="188"/>
      <c r="U25" s="188"/>
      <c r="V25" s="188"/>
      <c r="W25" s="191"/>
      <c r="Y25" s="343"/>
      <c r="Z25" s="23"/>
      <c r="AA25" s="23"/>
      <c r="AB25" s="26"/>
      <c r="AD25" s="370"/>
      <c r="AE25" s="371"/>
      <c r="AF25" s="372"/>
    </row>
    <row r="26" spans="1:32" s="342" customFormat="1">
      <c r="A26" s="340">
        <v>46150</v>
      </c>
      <c r="B26" s="341" t="s">
        <v>148</v>
      </c>
      <c r="C26" s="186" t="s">
        <v>8</v>
      </c>
      <c r="D26" s="187"/>
      <c r="E26" s="193"/>
      <c r="F26" s="187">
        <v>-20</v>
      </c>
      <c r="G26" s="193"/>
      <c r="H26" s="188"/>
      <c r="I26" s="188"/>
      <c r="J26" s="188"/>
      <c r="K26" s="188"/>
      <c r="L26" s="188"/>
      <c r="M26" s="188"/>
      <c r="N26" s="188"/>
      <c r="O26" s="193"/>
      <c r="P26" s="187"/>
      <c r="Q26" s="188"/>
      <c r="R26" s="188"/>
      <c r="S26" s="188"/>
      <c r="T26" s="188"/>
      <c r="U26" s="188"/>
      <c r="V26" s="188"/>
      <c r="W26" s="191"/>
      <c r="Y26" s="343"/>
      <c r="Z26" s="23"/>
      <c r="AA26" s="23"/>
      <c r="AB26" s="26"/>
      <c r="AD26" s="370"/>
      <c r="AE26" s="371"/>
      <c r="AF26" s="372"/>
    </row>
    <row r="27" spans="1:32" s="342" customFormat="1">
      <c r="A27" s="340">
        <v>46152</v>
      </c>
      <c r="B27" s="341" t="s">
        <v>24</v>
      </c>
      <c r="C27" s="186" t="s">
        <v>24</v>
      </c>
      <c r="D27" s="187"/>
      <c r="E27" s="193">
        <v>500</v>
      </c>
      <c r="F27" s="187">
        <v>-500</v>
      </c>
      <c r="G27" s="193">
        <v>-80</v>
      </c>
      <c r="H27" s="188"/>
      <c r="I27" s="188"/>
      <c r="J27" s="188"/>
      <c r="K27" s="188"/>
      <c r="L27" s="188"/>
      <c r="M27" s="188"/>
      <c r="N27" s="188"/>
      <c r="O27" s="193"/>
      <c r="P27" s="187"/>
      <c r="Q27" s="188"/>
      <c r="R27" s="188"/>
      <c r="S27" s="188"/>
      <c r="T27" s="188"/>
      <c r="U27" s="188"/>
      <c r="V27" s="188"/>
      <c r="W27" s="191"/>
      <c r="Y27" s="343"/>
      <c r="Z27" s="23"/>
      <c r="AA27" s="23"/>
      <c r="AB27" s="26"/>
      <c r="AD27" s="370"/>
      <c r="AE27" s="371"/>
      <c r="AF27" s="372"/>
    </row>
    <row r="28" spans="1:32" s="342" customFormat="1">
      <c r="A28" s="340">
        <v>46152</v>
      </c>
      <c r="B28" s="341" t="s">
        <v>13</v>
      </c>
      <c r="C28" s="186" t="s">
        <v>13</v>
      </c>
      <c r="D28" s="187"/>
      <c r="E28" s="193"/>
      <c r="F28" s="187">
        <f>-45-50</f>
        <v>-95</v>
      </c>
      <c r="G28" s="193">
        <f>-20-103-28.04-47.42-100</f>
        <v>-298.45999999999998</v>
      </c>
      <c r="H28" s="188"/>
      <c r="I28" s="188"/>
      <c r="J28" s="188"/>
      <c r="K28" s="188"/>
      <c r="L28" s="188"/>
      <c r="M28" s="188"/>
      <c r="N28" s="188"/>
      <c r="O28" s="193"/>
      <c r="P28" s="187"/>
      <c r="Q28" s="188"/>
      <c r="R28" s="188"/>
      <c r="S28" s="188"/>
      <c r="T28" s="188"/>
      <c r="U28" s="188"/>
      <c r="V28" s="188"/>
      <c r="W28" s="191"/>
      <c r="Y28" s="343"/>
      <c r="Z28" s="23"/>
      <c r="AA28" s="23"/>
      <c r="AB28" s="26"/>
      <c r="AD28" s="370"/>
      <c r="AE28" s="371"/>
      <c r="AF28" s="372"/>
    </row>
    <row r="29" spans="1:32" s="342" customFormat="1">
      <c r="A29" s="340">
        <v>46152</v>
      </c>
      <c r="B29" s="341" t="s">
        <v>164</v>
      </c>
      <c r="C29" s="186" t="s">
        <v>21</v>
      </c>
      <c r="D29" s="187"/>
      <c r="E29" s="193"/>
      <c r="F29" s="187">
        <v>-93</v>
      </c>
      <c r="G29" s="193"/>
      <c r="H29" s="188"/>
      <c r="I29" s="188"/>
      <c r="J29" s="188"/>
      <c r="K29" s="188"/>
      <c r="L29" s="188"/>
      <c r="M29" s="188"/>
      <c r="N29" s="188"/>
      <c r="O29" s="193"/>
      <c r="P29" s="187"/>
      <c r="Q29" s="188"/>
      <c r="R29" s="188"/>
      <c r="S29" s="188"/>
      <c r="T29" s="188"/>
      <c r="U29" s="188"/>
      <c r="V29" s="188"/>
      <c r="W29" s="191"/>
      <c r="Y29" s="343"/>
      <c r="Z29" s="23"/>
      <c r="AA29" s="23"/>
      <c r="AB29" s="26"/>
      <c r="AD29" s="370"/>
      <c r="AE29" s="371"/>
      <c r="AF29" s="372"/>
    </row>
    <row r="30" spans="1:32" s="342" customFormat="1">
      <c r="A30" s="340">
        <v>46152</v>
      </c>
      <c r="B30" s="341" t="s">
        <v>165</v>
      </c>
      <c r="C30" s="186" t="s">
        <v>21</v>
      </c>
      <c r="D30" s="187"/>
      <c r="E30" s="193"/>
      <c r="F30" s="187">
        <v>-51</v>
      </c>
      <c r="G30" s="193"/>
      <c r="H30" s="188"/>
      <c r="I30" s="188"/>
      <c r="J30" s="188"/>
      <c r="K30" s="188"/>
      <c r="L30" s="188"/>
      <c r="M30" s="188"/>
      <c r="N30" s="188"/>
      <c r="O30" s="193"/>
      <c r="P30" s="187"/>
      <c r="Q30" s="188"/>
      <c r="R30" s="188"/>
      <c r="S30" s="188"/>
      <c r="T30" s="188"/>
      <c r="U30" s="188"/>
      <c r="V30" s="188"/>
      <c r="W30" s="191"/>
      <c r="Y30" s="343"/>
      <c r="Z30" s="23"/>
      <c r="AA30" s="23"/>
      <c r="AB30" s="26"/>
      <c r="AD30" s="370"/>
      <c r="AE30" s="371"/>
      <c r="AF30" s="372"/>
    </row>
    <row r="31" spans="1:32" s="342" customFormat="1">
      <c r="A31" s="340">
        <v>46152</v>
      </c>
      <c r="B31" s="341" t="s">
        <v>166</v>
      </c>
      <c r="C31" s="186" t="s">
        <v>8</v>
      </c>
      <c r="D31" s="187"/>
      <c r="E31" s="193"/>
      <c r="F31" s="187">
        <v>-55.99</v>
      </c>
      <c r="G31" s="193"/>
      <c r="H31" s="188"/>
      <c r="I31" s="188"/>
      <c r="J31" s="188"/>
      <c r="K31" s="188"/>
      <c r="L31" s="188"/>
      <c r="M31" s="188"/>
      <c r="N31" s="188"/>
      <c r="O31" s="193"/>
      <c r="P31" s="187"/>
      <c r="Q31" s="188"/>
      <c r="R31" s="188"/>
      <c r="S31" s="188"/>
      <c r="T31" s="188"/>
      <c r="U31" s="188"/>
      <c r="V31" s="188"/>
      <c r="W31" s="191"/>
      <c r="Y31" s="343"/>
      <c r="Z31" s="23"/>
      <c r="AA31" s="23"/>
      <c r="AB31" s="26"/>
      <c r="AD31" s="370"/>
      <c r="AE31" s="371"/>
      <c r="AF31" s="372"/>
    </row>
    <row r="32" spans="1:32" s="342" customFormat="1">
      <c r="A32" s="340">
        <v>46152</v>
      </c>
      <c r="B32" s="341" t="s">
        <v>167</v>
      </c>
      <c r="C32" s="186" t="s">
        <v>20</v>
      </c>
      <c r="D32" s="187"/>
      <c r="E32" s="193"/>
      <c r="F32" s="187">
        <v>-50</v>
      </c>
      <c r="G32" s="193"/>
      <c r="H32" s="188"/>
      <c r="I32" s="188"/>
      <c r="J32" s="188"/>
      <c r="K32" s="188"/>
      <c r="L32" s="188"/>
      <c r="M32" s="188"/>
      <c r="N32" s="188"/>
      <c r="O32" s="193"/>
      <c r="P32" s="187"/>
      <c r="Q32" s="188"/>
      <c r="R32" s="188"/>
      <c r="S32" s="188"/>
      <c r="T32" s="188"/>
      <c r="U32" s="188"/>
      <c r="V32" s="188"/>
      <c r="W32" s="191"/>
      <c r="Y32" s="343"/>
      <c r="Z32" s="23"/>
      <c r="AA32" s="23"/>
      <c r="AB32" s="26"/>
      <c r="AD32" s="370"/>
      <c r="AE32" s="371"/>
      <c r="AF32" s="372"/>
    </row>
    <row r="33" spans="1:32" s="342" customFormat="1">
      <c r="A33" s="340">
        <v>46153</v>
      </c>
      <c r="B33" s="341" t="s">
        <v>168</v>
      </c>
      <c r="C33" s="186" t="s">
        <v>13</v>
      </c>
      <c r="D33" s="187"/>
      <c r="E33" s="193"/>
      <c r="F33" s="187">
        <f>-106-61-20</f>
        <v>-187</v>
      </c>
      <c r="G33" s="193">
        <f>-15-32.24-25-39</f>
        <v>-111.24000000000001</v>
      </c>
      <c r="H33" s="188"/>
      <c r="I33" s="188"/>
      <c r="J33" s="188"/>
      <c r="K33" s="188"/>
      <c r="L33" s="188"/>
      <c r="M33" s="188"/>
      <c r="N33" s="188"/>
      <c r="O33" s="193"/>
      <c r="P33" s="187"/>
      <c r="Q33" s="188"/>
      <c r="R33" s="188"/>
      <c r="S33" s="188"/>
      <c r="T33" s="188"/>
      <c r="U33" s="188"/>
      <c r="V33" s="188"/>
      <c r="W33" s="191"/>
      <c r="Y33" s="343"/>
      <c r="Z33" s="23"/>
      <c r="AA33" s="23"/>
      <c r="AB33" s="26"/>
      <c r="AD33" s="370"/>
      <c r="AE33" s="371"/>
      <c r="AF33" s="372"/>
    </row>
    <row r="34" spans="1:32" s="342" customFormat="1">
      <c r="A34" s="340">
        <v>46153</v>
      </c>
      <c r="B34" s="341" t="s">
        <v>169</v>
      </c>
      <c r="C34" s="186" t="s">
        <v>18</v>
      </c>
      <c r="D34" s="187"/>
      <c r="E34" s="193"/>
      <c r="F34" s="187">
        <f>-75-22-50</f>
        <v>-147</v>
      </c>
      <c r="G34" s="193"/>
      <c r="H34" s="188"/>
      <c r="I34" s="188"/>
      <c r="J34" s="188"/>
      <c r="K34" s="188"/>
      <c r="L34" s="188"/>
      <c r="M34" s="188"/>
      <c r="N34" s="188"/>
      <c r="O34" s="193"/>
      <c r="P34" s="187"/>
      <c r="Q34" s="188"/>
      <c r="R34" s="188"/>
      <c r="S34" s="188"/>
      <c r="T34" s="188"/>
      <c r="U34" s="188"/>
      <c r="V34" s="188"/>
      <c r="W34" s="191"/>
      <c r="Y34" s="343"/>
      <c r="Z34" s="23"/>
      <c r="AA34" s="23"/>
      <c r="AB34" s="26"/>
      <c r="AD34" s="370"/>
      <c r="AE34" s="371"/>
      <c r="AF34" s="372"/>
    </row>
    <row r="35" spans="1:32" s="342" customFormat="1">
      <c r="A35" s="340">
        <v>46154</v>
      </c>
      <c r="B35" s="341" t="s">
        <v>27</v>
      </c>
      <c r="C35" s="186" t="s">
        <v>27</v>
      </c>
      <c r="D35" s="187"/>
      <c r="E35" s="193"/>
      <c r="F35" s="187"/>
      <c r="G35" s="193">
        <v>-65</v>
      </c>
      <c r="H35" s="188"/>
      <c r="I35" s="188"/>
      <c r="J35" s="188"/>
      <c r="K35" s="188"/>
      <c r="L35" s="188"/>
      <c r="M35" s="188"/>
      <c r="N35" s="188"/>
      <c r="O35" s="193"/>
      <c r="P35" s="187"/>
      <c r="Q35" s="188"/>
      <c r="R35" s="188"/>
      <c r="S35" s="188"/>
      <c r="T35" s="188"/>
      <c r="U35" s="188"/>
      <c r="V35" s="188"/>
      <c r="W35" s="191"/>
      <c r="Y35" s="343"/>
      <c r="Z35" s="23"/>
      <c r="AA35" s="23"/>
      <c r="AB35" s="26"/>
      <c r="AD35" s="370"/>
      <c r="AE35" s="371"/>
      <c r="AF35" s="372"/>
    </row>
    <row r="36" spans="1:32" s="342" customFormat="1">
      <c r="A36" s="340">
        <v>46154</v>
      </c>
      <c r="B36" s="341" t="s">
        <v>170</v>
      </c>
      <c r="C36" s="186" t="s">
        <v>170</v>
      </c>
      <c r="D36" s="187"/>
      <c r="E36" s="193">
        <v>5000</v>
      </c>
      <c r="F36" s="187"/>
      <c r="G36" s="193"/>
      <c r="H36" s="188"/>
      <c r="I36" s="188"/>
      <c r="J36" s="188"/>
      <c r="K36" s="188"/>
      <c r="L36" s="188"/>
      <c r="M36" s="188"/>
      <c r="N36" s="188"/>
      <c r="O36" s="193"/>
      <c r="P36" s="187"/>
      <c r="Q36" s="188"/>
      <c r="R36" s="188"/>
      <c r="S36" s="188"/>
      <c r="T36" s="188"/>
      <c r="U36" s="188"/>
      <c r="V36" s="188"/>
      <c r="W36" s="191"/>
      <c r="Y36" s="343"/>
      <c r="Z36" s="23"/>
      <c r="AA36" s="23"/>
      <c r="AB36" s="26"/>
      <c r="AD36" s="370"/>
      <c r="AE36" s="371"/>
      <c r="AF36" s="372"/>
    </row>
    <row r="37" spans="1:32" s="342" customFormat="1">
      <c r="A37" s="340">
        <v>46155</v>
      </c>
      <c r="B37" s="341" t="s">
        <v>171</v>
      </c>
      <c r="C37" s="186" t="s">
        <v>8</v>
      </c>
      <c r="D37" s="187"/>
      <c r="E37" s="193"/>
      <c r="F37" s="187">
        <f>-30-5</f>
        <v>-35</v>
      </c>
      <c r="G37" s="193"/>
      <c r="H37" s="188"/>
      <c r="I37" s="188"/>
      <c r="J37" s="188"/>
      <c r="K37" s="188"/>
      <c r="L37" s="188"/>
      <c r="M37" s="188"/>
      <c r="N37" s="188"/>
      <c r="O37" s="193"/>
      <c r="P37" s="187"/>
      <c r="Q37" s="188"/>
      <c r="R37" s="188"/>
      <c r="S37" s="188"/>
      <c r="T37" s="188"/>
      <c r="U37" s="188"/>
      <c r="V37" s="188"/>
      <c r="W37" s="191"/>
      <c r="Y37" s="343"/>
      <c r="Z37" s="23"/>
      <c r="AA37" s="23"/>
      <c r="AB37" s="26"/>
      <c r="AD37" s="370"/>
      <c r="AE37" s="371"/>
      <c r="AF37" s="372"/>
    </row>
    <row r="38" spans="1:32" s="342" customFormat="1">
      <c r="A38" s="340">
        <v>46157</v>
      </c>
      <c r="B38" s="341" t="s">
        <v>170</v>
      </c>
      <c r="C38" s="186" t="s">
        <v>170</v>
      </c>
      <c r="D38" s="187"/>
      <c r="E38" s="193">
        <v>4665</v>
      </c>
      <c r="F38" s="187"/>
      <c r="G38" s="193"/>
      <c r="H38" s="188"/>
      <c r="I38" s="188"/>
      <c r="J38" s="188"/>
      <c r="K38" s="188"/>
      <c r="L38" s="188"/>
      <c r="M38" s="188"/>
      <c r="N38" s="188"/>
      <c r="O38" s="193"/>
      <c r="P38" s="187"/>
      <c r="Q38" s="188"/>
      <c r="R38" s="188"/>
      <c r="S38" s="188"/>
      <c r="T38" s="188"/>
      <c r="U38" s="188"/>
      <c r="V38" s="188"/>
      <c r="W38" s="191"/>
      <c r="Y38" s="343"/>
      <c r="Z38" s="23"/>
      <c r="AA38" s="23"/>
      <c r="AB38" s="26"/>
      <c r="AD38" s="370"/>
      <c r="AE38" s="371"/>
      <c r="AF38" s="372"/>
    </row>
    <row r="39" spans="1:32" s="342" customFormat="1">
      <c r="A39" s="340">
        <v>46157</v>
      </c>
      <c r="B39" s="341" t="s">
        <v>4</v>
      </c>
      <c r="C39" s="186" t="s">
        <v>4</v>
      </c>
      <c r="D39" s="187"/>
      <c r="E39" s="193">
        <v>-300</v>
      </c>
      <c r="F39" s="187"/>
      <c r="G39" s="193"/>
      <c r="H39" s="188"/>
      <c r="I39" s="188"/>
      <c r="J39" s="188"/>
      <c r="K39" s="188"/>
      <c r="L39" s="188"/>
      <c r="M39" s="188"/>
      <c r="N39" s="188"/>
      <c r="O39" s="193"/>
      <c r="P39" s="187"/>
      <c r="Q39" s="188"/>
      <c r="R39" s="188">
        <v>300</v>
      </c>
      <c r="S39" s="188"/>
      <c r="T39" s="188"/>
      <c r="U39" s="188"/>
      <c r="V39" s="188"/>
      <c r="W39" s="191"/>
      <c r="Y39" s="343"/>
      <c r="Z39" s="23"/>
      <c r="AA39" s="23"/>
      <c r="AB39" s="26"/>
      <c r="AD39" s="370"/>
      <c r="AE39" s="371"/>
      <c r="AF39" s="372"/>
    </row>
    <row r="40" spans="1:32" s="342" customFormat="1">
      <c r="A40" s="340">
        <v>46157</v>
      </c>
      <c r="B40" s="341" t="s">
        <v>21</v>
      </c>
      <c r="C40" s="186" t="s">
        <v>21</v>
      </c>
      <c r="D40" s="187"/>
      <c r="E40" s="193"/>
      <c r="F40" s="187">
        <v>-309.27</v>
      </c>
      <c r="G40" s="193"/>
      <c r="H40" s="188"/>
      <c r="I40" s="188"/>
      <c r="J40" s="188"/>
      <c r="K40" s="188"/>
      <c r="L40" s="188"/>
      <c r="M40" s="188"/>
      <c r="N40" s="188"/>
      <c r="O40" s="193"/>
      <c r="P40" s="187"/>
      <c r="Q40" s="188"/>
      <c r="R40" s="188"/>
      <c r="S40" s="188"/>
      <c r="T40" s="188"/>
      <c r="U40" s="188"/>
      <c r="V40" s="188"/>
      <c r="W40" s="191"/>
      <c r="Y40" s="343"/>
      <c r="Z40" s="23"/>
      <c r="AA40" s="23"/>
      <c r="AB40" s="26"/>
      <c r="AD40" s="370"/>
      <c r="AE40" s="371"/>
      <c r="AF40" s="372"/>
    </row>
    <row r="41" spans="1:32" s="342" customFormat="1">
      <c r="A41" s="340">
        <v>46157</v>
      </c>
      <c r="B41" s="341" t="s">
        <v>9</v>
      </c>
      <c r="C41" s="186" t="s">
        <v>9</v>
      </c>
      <c r="D41" s="187"/>
      <c r="E41" s="193"/>
      <c r="F41" s="187">
        <f>-342.67-16</f>
        <v>-358.67</v>
      </c>
      <c r="G41" s="193"/>
      <c r="H41" s="188"/>
      <c r="I41" s="188"/>
      <c r="J41" s="188"/>
      <c r="K41" s="188"/>
      <c r="L41" s="188"/>
      <c r="M41" s="188"/>
      <c r="N41" s="188"/>
      <c r="O41" s="193"/>
      <c r="P41" s="187"/>
      <c r="Q41" s="188"/>
      <c r="R41" s="188"/>
      <c r="S41" s="188"/>
      <c r="T41" s="188"/>
      <c r="U41" s="188"/>
      <c r="V41" s="188"/>
      <c r="W41" s="191"/>
      <c r="Y41" s="343"/>
      <c r="Z41" s="23"/>
      <c r="AA41" s="23"/>
      <c r="AB41" s="26"/>
      <c r="AD41" s="370"/>
      <c r="AE41" s="371"/>
      <c r="AF41" s="372"/>
    </row>
    <row r="42" spans="1:32" s="342" customFormat="1">
      <c r="A42" s="340">
        <v>46157</v>
      </c>
      <c r="B42" s="341" t="s">
        <v>172</v>
      </c>
      <c r="C42" s="186" t="s">
        <v>12</v>
      </c>
      <c r="D42" s="187"/>
      <c r="E42" s="193"/>
      <c r="F42" s="187">
        <v>-66</v>
      </c>
      <c r="G42" s="193"/>
      <c r="H42" s="188"/>
      <c r="I42" s="188"/>
      <c r="J42" s="188"/>
      <c r="K42" s="188"/>
      <c r="L42" s="188"/>
      <c r="M42" s="188"/>
      <c r="N42" s="188"/>
      <c r="O42" s="193"/>
      <c r="P42" s="187"/>
      <c r="Q42" s="188"/>
      <c r="R42" s="188"/>
      <c r="S42" s="188"/>
      <c r="T42" s="188"/>
      <c r="U42" s="188"/>
      <c r="V42" s="188"/>
      <c r="W42" s="191"/>
      <c r="Y42" s="343"/>
      <c r="Z42" s="23"/>
      <c r="AA42" s="23"/>
      <c r="AB42" s="26"/>
      <c r="AD42" s="370"/>
      <c r="AE42" s="371"/>
      <c r="AF42" s="372"/>
    </row>
    <row r="43" spans="1:32" s="342" customFormat="1">
      <c r="A43" s="340">
        <v>46157</v>
      </c>
      <c r="B43" s="341" t="s">
        <v>173</v>
      </c>
      <c r="C43" s="186" t="s">
        <v>11</v>
      </c>
      <c r="D43" s="187"/>
      <c r="E43" s="193"/>
      <c r="F43" s="187">
        <v>-37</v>
      </c>
      <c r="G43" s="193">
        <v>-150</v>
      </c>
      <c r="H43" s="188"/>
      <c r="I43" s="188"/>
      <c r="J43" s="188"/>
      <c r="K43" s="188"/>
      <c r="L43" s="188"/>
      <c r="M43" s="188"/>
      <c r="N43" s="188"/>
      <c r="O43" s="193"/>
      <c r="P43" s="187"/>
      <c r="Q43" s="188"/>
      <c r="R43" s="188"/>
      <c r="S43" s="188"/>
      <c r="T43" s="188"/>
      <c r="U43" s="188"/>
      <c r="V43" s="188"/>
      <c r="W43" s="191"/>
      <c r="Y43" s="343"/>
      <c r="Z43" s="23"/>
      <c r="AA43" s="23"/>
      <c r="AB43" s="26"/>
      <c r="AD43" s="370"/>
      <c r="AE43" s="371"/>
      <c r="AF43" s="372"/>
    </row>
    <row r="44" spans="1:32" s="342" customFormat="1">
      <c r="A44" s="340">
        <v>46160</v>
      </c>
      <c r="B44" s="341" t="s">
        <v>174</v>
      </c>
      <c r="C44" s="186" t="s">
        <v>28</v>
      </c>
      <c r="D44" s="187"/>
      <c r="E44" s="193">
        <v>-365</v>
      </c>
      <c r="F44" s="187"/>
      <c r="G44" s="193"/>
      <c r="H44" s="188"/>
      <c r="I44" s="188"/>
      <c r="J44" s="188"/>
      <c r="K44" s="188"/>
      <c r="L44" s="188"/>
      <c r="M44" s="188"/>
      <c r="N44" s="188"/>
      <c r="O44" s="193"/>
      <c r="P44" s="187"/>
      <c r="Q44" s="188"/>
      <c r="R44" s="188"/>
      <c r="S44" s="188"/>
      <c r="T44" s="188"/>
      <c r="U44" s="188"/>
      <c r="V44" s="188"/>
      <c r="W44" s="191"/>
      <c r="Y44" s="343"/>
      <c r="Z44" s="23"/>
      <c r="AA44" s="23"/>
      <c r="AB44" s="26"/>
      <c r="AD44" s="370"/>
      <c r="AE44" s="371"/>
      <c r="AF44" s="372"/>
    </row>
    <row r="45" spans="1:32">
      <c r="A45" s="340">
        <v>46160</v>
      </c>
      <c r="B45" s="341" t="s">
        <v>175</v>
      </c>
      <c r="C45" s="186" t="s">
        <v>12</v>
      </c>
      <c r="D45" s="187"/>
      <c r="E45" s="193">
        <v>-68</v>
      </c>
      <c r="F45" s="187"/>
      <c r="G45" s="193"/>
      <c r="H45" s="188"/>
      <c r="I45" s="188"/>
      <c r="J45" s="188"/>
      <c r="K45" s="188"/>
      <c r="L45" s="188"/>
      <c r="M45" s="188"/>
      <c r="N45" s="188"/>
      <c r="O45" s="193"/>
      <c r="P45" s="187"/>
      <c r="Q45" s="188"/>
      <c r="R45" s="188"/>
      <c r="S45" s="188"/>
      <c r="T45" s="188"/>
      <c r="U45" s="188"/>
      <c r="V45" s="188"/>
      <c r="W45" s="191"/>
      <c r="Y45" s="18"/>
      <c r="Z45" s="23"/>
      <c r="AA45" s="23"/>
      <c r="AB45" s="26"/>
      <c r="AD45" s="124"/>
      <c r="AE45"/>
      <c r="AF45" s="125"/>
    </row>
    <row r="46" spans="1:32" s="342" customFormat="1">
      <c r="A46" s="340">
        <v>46160</v>
      </c>
      <c r="B46" s="341" t="s">
        <v>176</v>
      </c>
      <c r="C46" s="186" t="s">
        <v>23</v>
      </c>
      <c r="D46" s="187"/>
      <c r="E46" s="193"/>
      <c r="F46" s="187">
        <f>-9-30</f>
        <v>-39</v>
      </c>
      <c r="G46" s="193">
        <v>-103</v>
      </c>
      <c r="H46" s="188"/>
      <c r="I46" s="188"/>
      <c r="J46" s="188"/>
      <c r="K46" s="188"/>
      <c r="L46" s="188"/>
      <c r="M46" s="188"/>
      <c r="N46" s="188"/>
      <c r="O46" s="193"/>
      <c r="P46" s="187"/>
      <c r="Q46" s="188"/>
      <c r="R46" s="188"/>
      <c r="S46" s="188"/>
      <c r="T46" s="188"/>
      <c r="U46" s="188"/>
      <c r="V46" s="188"/>
      <c r="W46" s="191"/>
      <c r="Y46" s="343"/>
      <c r="Z46" s="23"/>
      <c r="AA46" s="23"/>
      <c r="AB46" s="26"/>
      <c r="AD46" s="370"/>
      <c r="AE46" s="371"/>
      <c r="AF46" s="372"/>
    </row>
    <row r="47" spans="1:32" s="342" customFormat="1">
      <c r="A47" s="340">
        <v>46162</v>
      </c>
      <c r="B47" s="341" t="s">
        <v>147</v>
      </c>
      <c r="C47" s="186" t="s">
        <v>8</v>
      </c>
      <c r="D47" s="187"/>
      <c r="E47" s="193"/>
      <c r="F47" s="187">
        <v>-30</v>
      </c>
      <c r="G47" s="193"/>
      <c r="H47" s="188"/>
      <c r="I47" s="188"/>
      <c r="J47" s="188"/>
      <c r="K47" s="188"/>
      <c r="L47" s="188"/>
      <c r="M47" s="188"/>
      <c r="N47" s="188"/>
      <c r="O47" s="193"/>
      <c r="P47" s="187"/>
      <c r="Q47" s="188"/>
      <c r="R47" s="188"/>
      <c r="S47" s="188"/>
      <c r="T47" s="188"/>
      <c r="U47" s="188"/>
      <c r="V47" s="188"/>
      <c r="W47" s="191"/>
      <c r="Y47" s="343"/>
      <c r="Z47" s="23"/>
      <c r="AA47" s="23"/>
      <c r="AB47" s="26"/>
      <c r="AD47" s="370"/>
      <c r="AE47" s="371"/>
      <c r="AF47" s="372"/>
    </row>
    <row r="48" spans="1:32" s="342" customFormat="1">
      <c r="A48" s="340">
        <v>46163</v>
      </c>
      <c r="B48" s="341" t="s">
        <v>149</v>
      </c>
      <c r="C48" s="186" t="s">
        <v>149</v>
      </c>
      <c r="D48" s="187"/>
      <c r="E48" s="193">
        <v>-2716</v>
      </c>
      <c r="F48" s="187">
        <v>2716</v>
      </c>
      <c r="G48" s="193"/>
      <c r="H48" s="188"/>
      <c r="I48" s="188"/>
      <c r="J48" s="188"/>
      <c r="K48" s="188"/>
      <c r="L48" s="188"/>
      <c r="M48" s="188"/>
      <c r="N48" s="188"/>
      <c r="O48" s="193"/>
      <c r="P48" s="187"/>
      <c r="Q48" s="188"/>
      <c r="R48" s="188"/>
      <c r="S48" s="188"/>
      <c r="T48" s="188"/>
      <c r="U48" s="188"/>
      <c r="V48" s="188"/>
      <c r="W48" s="191"/>
      <c r="Y48" s="343"/>
      <c r="Z48" s="23"/>
      <c r="AA48" s="23"/>
      <c r="AB48" s="26"/>
      <c r="AD48" s="370"/>
      <c r="AE48" s="371"/>
      <c r="AF48" s="372"/>
    </row>
    <row r="49" spans="1:32" s="342" customFormat="1">
      <c r="A49" s="690">
        <v>46164</v>
      </c>
      <c r="B49" s="341" t="s">
        <v>173</v>
      </c>
      <c r="C49" s="186" t="s">
        <v>11</v>
      </c>
      <c r="D49" s="187"/>
      <c r="E49" s="193"/>
      <c r="F49" s="187"/>
      <c r="G49" s="193">
        <v>-75</v>
      </c>
      <c r="H49" s="188"/>
      <c r="I49" s="188"/>
      <c r="J49" s="188"/>
      <c r="K49" s="188"/>
      <c r="L49" s="188"/>
      <c r="M49" s="188"/>
      <c r="N49" s="188"/>
      <c r="O49" s="193"/>
      <c r="P49" s="187"/>
      <c r="Q49" s="188"/>
      <c r="R49" s="188"/>
      <c r="S49" s="188"/>
      <c r="T49" s="188"/>
      <c r="U49" s="188"/>
      <c r="V49" s="188"/>
      <c r="W49" s="191"/>
      <c r="Y49" s="343"/>
      <c r="Z49" s="23"/>
      <c r="AA49" s="23"/>
      <c r="AB49" s="26"/>
      <c r="AD49" s="370"/>
      <c r="AE49" s="371"/>
      <c r="AF49" s="372"/>
    </row>
    <row r="50" spans="1:32" s="342" customFormat="1">
      <c r="A50" s="340">
        <v>46168</v>
      </c>
      <c r="B50" s="341" t="s">
        <v>177</v>
      </c>
      <c r="C50" s="186" t="s">
        <v>12</v>
      </c>
      <c r="D50" s="187"/>
      <c r="E50" s="193">
        <f>-193.06-8</f>
        <v>-201.06</v>
      </c>
      <c r="F50" s="187">
        <v>-32</v>
      </c>
      <c r="G50" s="193"/>
      <c r="H50" s="188"/>
      <c r="I50" s="188"/>
      <c r="J50" s="188"/>
      <c r="K50" s="188"/>
      <c r="L50" s="188"/>
      <c r="M50" s="188"/>
      <c r="N50" s="188"/>
      <c r="O50" s="193"/>
      <c r="P50" s="187"/>
      <c r="Q50" s="188"/>
      <c r="R50" s="188"/>
      <c r="S50" s="188"/>
      <c r="T50" s="188"/>
      <c r="U50" s="188"/>
      <c r="V50" s="188"/>
      <c r="W50" s="191"/>
      <c r="Y50" s="343"/>
      <c r="Z50" s="23"/>
      <c r="AA50" s="23"/>
      <c r="AB50" s="26"/>
      <c r="AD50" s="370"/>
      <c r="AE50" s="371"/>
      <c r="AF50" s="372"/>
    </row>
    <row r="51" spans="1:32" s="342" customFormat="1">
      <c r="A51" s="340">
        <v>46168</v>
      </c>
      <c r="B51" s="341" t="s">
        <v>178</v>
      </c>
      <c r="C51" s="186" t="s">
        <v>24</v>
      </c>
      <c r="D51" s="187"/>
      <c r="E51" s="193"/>
      <c r="F51" s="187">
        <v>-30</v>
      </c>
      <c r="G51" s="193">
        <v>-235</v>
      </c>
      <c r="H51" s="188"/>
      <c r="I51" s="188"/>
      <c r="J51" s="188"/>
      <c r="K51" s="188"/>
      <c r="L51" s="188"/>
      <c r="M51" s="188"/>
      <c r="N51" s="188"/>
      <c r="O51" s="193"/>
      <c r="P51" s="187"/>
      <c r="Q51" s="188"/>
      <c r="R51" s="188"/>
      <c r="S51" s="188"/>
      <c r="T51" s="188"/>
      <c r="U51" s="188"/>
      <c r="V51" s="188"/>
      <c r="W51" s="191"/>
      <c r="Y51" s="343"/>
      <c r="Z51" s="23"/>
      <c r="AA51" s="23"/>
      <c r="AB51" s="26"/>
      <c r="AD51" s="370"/>
      <c r="AE51" s="371"/>
      <c r="AF51" s="372"/>
    </row>
    <row r="52" spans="1:32" s="342" customFormat="1">
      <c r="A52" s="340">
        <v>46168</v>
      </c>
      <c r="B52" s="341" t="s">
        <v>179</v>
      </c>
      <c r="C52" s="186" t="s">
        <v>8</v>
      </c>
      <c r="D52" s="187"/>
      <c r="E52" s="193"/>
      <c r="F52" s="187">
        <f>-85-70</f>
        <v>-155</v>
      </c>
      <c r="G52" s="193"/>
      <c r="H52" s="188"/>
      <c r="I52" s="188"/>
      <c r="J52" s="188"/>
      <c r="K52" s="188"/>
      <c r="L52" s="188"/>
      <c r="M52" s="188"/>
      <c r="N52" s="188"/>
      <c r="O52" s="193"/>
      <c r="P52" s="187"/>
      <c r="Q52" s="188"/>
      <c r="R52" s="188"/>
      <c r="S52" s="188"/>
      <c r="T52" s="188"/>
      <c r="U52" s="188"/>
      <c r="V52" s="188"/>
      <c r="W52" s="191"/>
      <c r="Y52" s="343"/>
      <c r="Z52" s="23"/>
      <c r="AA52" s="23"/>
      <c r="AB52" s="26"/>
      <c r="AD52" s="370"/>
      <c r="AE52" s="371"/>
      <c r="AF52" s="372"/>
    </row>
    <row r="53" spans="1:32" s="342" customFormat="1">
      <c r="A53" s="340">
        <v>46168</v>
      </c>
      <c r="B53" s="341" t="s">
        <v>15</v>
      </c>
      <c r="C53" s="186" t="s">
        <v>15</v>
      </c>
      <c r="D53" s="187"/>
      <c r="E53" s="193"/>
      <c r="F53" s="187">
        <v>-108</v>
      </c>
      <c r="G53" s="193"/>
      <c r="H53" s="188"/>
      <c r="I53" s="188"/>
      <c r="J53" s="188"/>
      <c r="K53" s="188"/>
      <c r="L53" s="188"/>
      <c r="M53" s="188"/>
      <c r="N53" s="188"/>
      <c r="O53" s="193"/>
      <c r="P53" s="187"/>
      <c r="Q53" s="188"/>
      <c r="R53" s="188"/>
      <c r="S53" s="188"/>
      <c r="T53" s="188"/>
      <c r="U53" s="188"/>
      <c r="V53" s="188"/>
      <c r="W53" s="191"/>
      <c r="Y53" s="343"/>
      <c r="Z53" s="23"/>
      <c r="AA53" s="23"/>
      <c r="AB53" s="26"/>
      <c r="AD53" s="370"/>
      <c r="AE53" s="371"/>
      <c r="AF53" s="372"/>
    </row>
    <row r="54" spans="1:32" s="342" customFormat="1">
      <c r="A54" s="340">
        <v>46168</v>
      </c>
      <c r="B54" s="341" t="s">
        <v>180</v>
      </c>
      <c r="C54" s="186" t="s">
        <v>8</v>
      </c>
      <c r="D54" s="187"/>
      <c r="E54" s="193"/>
      <c r="F54" s="187">
        <v>-39</v>
      </c>
      <c r="G54" s="193"/>
      <c r="H54" s="188"/>
      <c r="I54" s="188"/>
      <c r="J54" s="188"/>
      <c r="K54" s="188"/>
      <c r="L54" s="188"/>
      <c r="M54" s="188"/>
      <c r="N54" s="188"/>
      <c r="O54" s="193"/>
      <c r="P54" s="187"/>
      <c r="Q54" s="188"/>
      <c r="R54" s="188"/>
      <c r="S54" s="188"/>
      <c r="T54" s="188"/>
      <c r="U54" s="188"/>
      <c r="V54" s="188"/>
      <c r="W54" s="191"/>
      <c r="Y54" s="343"/>
      <c r="Z54" s="23"/>
      <c r="AA54" s="23"/>
      <c r="AB54" s="26"/>
      <c r="AD54" s="370"/>
      <c r="AE54" s="371"/>
      <c r="AF54" s="372"/>
    </row>
    <row r="55" spans="1:32" s="342" customFormat="1">
      <c r="A55" s="340">
        <v>46168</v>
      </c>
      <c r="B55" s="341" t="s">
        <v>181</v>
      </c>
      <c r="C55" s="186" t="s">
        <v>26</v>
      </c>
      <c r="D55" s="187"/>
      <c r="E55" s="193"/>
      <c r="F55" s="187">
        <f>-103-40-42-67</f>
        <v>-252</v>
      </c>
      <c r="G55" s="193"/>
      <c r="H55" s="188"/>
      <c r="I55" s="188"/>
      <c r="J55" s="188"/>
      <c r="K55" s="188"/>
      <c r="L55" s="188"/>
      <c r="M55" s="188"/>
      <c r="N55" s="188"/>
      <c r="O55" s="193"/>
      <c r="P55" s="187"/>
      <c r="Q55" s="188"/>
      <c r="R55" s="188"/>
      <c r="S55" s="188"/>
      <c r="T55" s="188"/>
      <c r="U55" s="188"/>
      <c r="V55" s="188"/>
      <c r="W55" s="191"/>
      <c r="Y55" s="343"/>
      <c r="Z55" s="23"/>
      <c r="AA55" s="23"/>
      <c r="AB55" s="26"/>
      <c r="AD55" s="370"/>
      <c r="AE55" s="371"/>
      <c r="AF55" s="372"/>
    </row>
    <row r="56" spans="1:32" s="342" customFormat="1">
      <c r="A56" s="340">
        <v>46170</v>
      </c>
      <c r="B56" s="341" t="s">
        <v>182</v>
      </c>
      <c r="C56" s="186" t="s">
        <v>18</v>
      </c>
      <c r="D56" s="187"/>
      <c r="E56" s="193"/>
      <c r="F56" s="187">
        <v>-58</v>
      </c>
      <c r="G56" s="193"/>
      <c r="H56" s="188"/>
      <c r="I56" s="188"/>
      <c r="J56" s="188"/>
      <c r="K56" s="188"/>
      <c r="L56" s="188"/>
      <c r="M56" s="188"/>
      <c r="N56" s="188"/>
      <c r="O56" s="193"/>
      <c r="P56" s="187"/>
      <c r="Q56" s="188"/>
      <c r="R56" s="188"/>
      <c r="S56" s="188"/>
      <c r="T56" s="188"/>
      <c r="U56" s="188"/>
      <c r="V56" s="188"/>
      <c r="W56" s="191"/>
      <c r="Y56" s="343"/>
      <c r="Z56" s="23"/>
      <c r="AA56" s="23"/>
      <c r="AB56" s="26"/>
      <c r="AD56" s="370"/>
      <c r="AE56" s="371"/>
      <c r="AF56" s="372"/>
    </row>
    <row r="57" spans="1:32" s="342" customFormat="1">
      <c r="A57" s="340">
        <v>46172</v>
      </c>
      <c r="B57" s="341" t="s">
        <v>170</v>
      </c>
      <c r="C57" s="186" t="s">
        <v>170</v>
      </c>
      <c r="D57" s="187"/>
      <c r="E57" s="193">
        <f>5031.33+5000</f>
        <v>10031.33</v>
      </c>
      <c r="F57" s="187"/>
      <c r="G57" s="193"/>
      <c r="H57" s="188"/>
      <c r="I57" s="188"/>
      <c r="J57" s="188"/>
      <c r="K57" s="188"/>
      <c r="L57" s="188"/>
      <c r="M57" s="188"/>
      <c r="N57" s="188"/>
      <c r="O57" s="193"/>
      <c r="P57" s="187"/>
      <c r="Q57" s="188"/>
      <c r="R57" s="188"/>
      <c r="S57" s="188"/>
      <c r="T57" s="188"/>
      <c r="U57" s="188"/>
      <c r="V57" s="188"/>
      <c r="W57" s="191"/>
      <c r="Y57" s="343"/>
      <c r="Z57" s="23"/>
      <c r="AA57" s="23"/>
      <c r="AB57" s="26"/>
      <c r="AD57" s="370"/>
      <c r="AE57" s="371"/>
      <c r="AF57" s="372"/>
    </row>
    <row r="58" spans="1:32" s="342" customFormat="1">
      <c r="A58" s="340">
        <v>46173</v>
      </c>
      <c r="B58" s="341" t="s">
        <v>13</v>
      </c>
      <c r="C58" s="186" t="s">
        <v>13</v>
      </c>
      <c r="D58" s="187"/>
      <c r="E58" s="193"/>
      <c r="F58" s="187">
        <v>-250</v>
      </c>
      <c r="G58" s="193">
        <v>-100</v>
      </c>
      <c r="H58" s="188"/>
      <c r="I58" s="188"/>
      <c r="J58" s="188"/>
      <c r="K58" s="188"/>
      <c r="L58" s="188"/>
      <c r="M58" s="188"/>
      <c r="N58" s="188"/>
      <c r="O58" s="193"/>
      <c r="P58" s="187"/>
      <c r="Q58" s="188"/>
      <c r="R58" s="188"/>
      <c r="S58" s="188"/>
      <c r="T58" s="188"/>
      <c r="U58" s="188"/>
      <c r="V58" s="188"/>
      <c r="W58" s="191"/>
      <c r="Y58" s="343"/>
      <c r="Z58" s="23"/>
      <c r="AA58" s="23"/>
      <c r="AB58" s="26"/>
      <c r="AD58" s="370"/>
      <c r="AE58" s="371"/>
      <c r="AF58" s="372"/>
    </row>
    <row r="59" spans="1:32" s="342" customFormat="1">
      <c r="A59" s="340">
        <v>46173</v>
      </c>
      <c r="B59" s="369" t="s">
        <v>3</v>
      </c>
      <c r="C59" s="299" t="s">
        <v>3</v>
      </c>
      <c r="D59" s="188"/>
      <c r="E59" s="188">
        <v>-25</v>
      </c>
      <c r="F59" s="326"/>
      <c r="G59" s="327"/>
      <c r="H59" s="188"/>
      <c r="I59" s="188">
        <v>25</v>
      </c>
      <c r="J59" s="188"/>
      <c r="K59" s="188"/>
      <c r="L59" s="188"/>
      <c r="M59" s="188"/>
      <c r="N59" s="188"/>
      <c r="O59" s="188"/>
      <c r="P59" s="187"/>
      <c r="Q59" s="188"/>
      <c r="R59" s="188"/>
      <c r="S59" s="188"/>
      <c r="T59" s="188"/>
      <c r="U59" s="188"/>
      <c r="V59" s="193"/>
      <c r="W59" s="194"/>
      <c r="Y59" s="343"/>
      <c r="Z59" s="23"/>
      <c r="AA59" s="23"/>
      <c r="AB59" s="26"/>
      <c r="AD59" s="370"/>
      <c r="AE59" s="371"/>
      <c r="AF59" s="372"/>
    </row>
    <row r="60" spans="1:32">
      <c r="A60" s="340">
        <v>46173</v>
      </c>
      <c r="B60" s="341" t="s">
        <v>149</v>
      </c>
      <c r="C60" s="299" t="s">
        <v>149</v>
      </c>
      <c r="D60" s="377"/>
      <c r="E60" s="379">
        <f>-SUM(F60:G60)</f>
        <v>-5527.08</v>
      </c>
      <c r="F60" s="378">
        <f>-SUM(F3:F59)</f>
        <v>3128.2299999999996</v>
      </c>
      <c r="G60" s="379">
        <f>-SUM(G3:G59)</f>
        <v>2398.8500000000004</v>
      </c>
      <c r="H60" s="188"/>
      <c r="I60" s="188"/>
      <c r="J60" s="188"/>
      <c r="K60" s="188"/>
      <c r="L60" s="188"/>
      <c r="M60" s="188"/>
      <c r="N60" s="188"/>
      <c r="O60" s="193"/>
      <c r="P60" s="187"/>
      <c r="Q60" s="188"/>
      <c r="R60" s="188"/>
      <c r="S60" s="188"/>
      <c r="T60" s="188"/>
      <c r="U60" s="188"/>
      <c r="V60" s="193"/>
      <c r="W60" s="194"/>
      <c r="Y60" s="18"/>
      <c r="Z60" s="23"/>
      <c r="AA60" s="23"/>
      <c r="AB60" s="26"/>
      <c r="AD60" s="124"/>
      <c r="AE60"/>
      <c r="AF60" s="125"/>
    </row>
    <row r="61" spans="1:32">
      <c r="A61" s="422"/>
      <c r="B61" s="423"/>
      <c r="C61" s="459"/>
      <c r="D61" s="460"/>
      <c r="E61" s="461">
        <f>9500-SUM(E3:E60)</f>
        <v>-5700.1900000000005</v>
      </c>
      <c r="F61" s="460"/>
      <c r="G61" s="461"/>
      <c r="H61" s="462">
        <v>1000</v>
      </c>
      <c r="I61" s="462">
        <v>2500</v>
      </c>
      <c r="J61" s="462"/>
      <c r="K61" s="462">
        <v>200</v>
      </c>
      <c r="L61" s="462">
        <v>2000</v>
      </c>
      <c r="M61" s="462"/>
      <c r="N61" s="462"/>
      <c r="O61" s="462"/>
      <c r="P61" s="460"/>
      <c r="Q61" s="462"/>
      <c r="R61" s="462">
        <v>3765</v>
      </c>
      <c r="S61" s="462">
        <v>535</v>
      </c>
      <c r="T61" s="462"/>
      <c r="U61" s="462"/>
      <c r="V61" s="461">
        <v>10181</v>
      </c>
      <c r="W61" s="463">
        <f>75.47+70.97</f>
        <v>146.44</v>
      </c>
      <c r="Y61" s="30"/>
      <c r="Z61" s="48"/>
      <c r="AA61" s="48"/>
      <c r="AB61" s="49"/>
      <c r="AD61" s="126"/>
      <c r="AE61" s="127"/>
      <c r="AF61" s="128"/>
    </row>
    <row r="62" spans="1:32">
      <c r="A62" s="464" t="s">
        <v>134</v>
      </c>
      <c r="B62" s="465"/>
      <c r="C62" s="448"/>
      <c r="D62" s="420">
        <f>SUM(D3:D61)</f>
        <v>2000</v>
      </c>
      <c r="E62" s="420">
        <f t="shared" ref="E62:W62" si="1">SUM(E3:E61)</f>
        <v>9500</v>
      </c>
      <c r="F62" s="420">
        <f t="shared" si="1"/>
        <v>0</v>
      </c>
      <c r="G62" s="420">
        <f t="shared" si="1"/>
        <v>0</v>
      </c>
      <c r="H62" s="420">
        <f t="shared" si="1"/>
        <v>8939.0800000000017</v>
      </c>
      <c r="I62" s="420">
        <f t="shared" si="1"/>
        <v>52071.910000000011</v>
      </c>
      <c r="J62" s="420">
        <f t="shared" si="1"/>
        <v>153868</v>
      </c>
      <c r="K62" s="420">
        <f t="shared" si="1"/>
        <v>60778.679999999993</v>
      </c>
      <c r="L62" s="420">
        <f t="shared" si="1"/>
        <v>26245.91</v>
      </c>
      <c r="M62" s="420">
        <f t="shared" si="1"/>
        <v>32000.370000000003</v>
      </c>
      <c r="N62" s="420">
        <f t="shared" si="1"/>
        <v>4000</v>
      </c>
      <c r="O62" s="420">
        <f t="shared" si="1"/>
        <v>33572.5</v>
      </c>
      <c r="P62" s="420">
        <f>SUM(P3:P61)</f>
        <v>213589</v>
      </c>
      <c r="Q62" s="420">
        <f>SUM(Q3:Q61)</f>
        <v>132109</v>
      </c>
      <c r="R62" s="420">
        <f>SUM(R3:R61)</f>
        <v>71894</v>
      </c>
      <c r="S62" s="420">
        <f>SUM(S3:S61)</f>
        <v>7120</v>
      </c>
      <c r="T62" s="420">
        <f>SUM(T3:T61)</f>
        <v>33181</v>
      </c>
      <c r="U62" s="420">
        <f>SUM(U3:U61)</f>
        <v>27298</v>
      </c>
      <c r="V62" s="420">
        <f>SUM(V3:V61)</f>
        <v>256497</v>
      </c>
      <c r="W62" s="421">
        <f t="shared" si="1"/>
        <v>4028.92</v>
      </c>
      <c r="Y62" s="100" t="s">
        <v>29</v>
      </c>
      <c r="Z62" s="32">
        <f>SUM(Z4:Z60)</f>
        <v>12855</v>
      </c>
      <c r="AA62" s="32">
        <f>SUM(AA4:AA60)</f>
        <v>-13700.14</v>
      </c>
      <c r="AB62" s="101">
        <f>SUM(AB4:AB60)</f>
        <v>-845.13999999999987</v>
      </c>
      <c r="AC62" s="11"/>
      <c r="AD62" s="100"/>
      <c r="AE62" s="57"/>
      <c r="AF62" s="102"/>
    </row>
    <row r="63" spans="1:32">
      <c r="A63" s="31"/>
      <c r="B63" s="31"/>
      <c r="C63" s="96"/>
      <c r="D63" s="320"/>
      <c r="E63" s="320"/>
      <c r="F63" s="434"/>
      <c r="G63" s="434"/>
      <c r="H63" s="434"/>
      <c r="I63" s="434"/>
      <c r="J63" s="434"/>
      <c r="K63" s="434"/>
      <c r="L63" s="434"/>
      <c r="M63" s="434"/>
      <c r="N63" s="434"/>
      <c r="O63" s="536"/>
      <c r="P63" s="537"/>
      <c r="Q63" s="537"/>
      <c r="R63" s="537"/>
      <c r="S63" s="537"/>
      <c r="T63" s="538"/>
      <c r="U63" s="538"/>
      <c r="V63" s="537"/>
      <c r="W63" s="320"/>
      <c r="Y63" s="31"/>
      <c r="Z63" s="95"/>
      <c r="AA63" s="95"/>
      <c r="AB63" s="95"/>
      <c r="AD63" s="31"/>
      <c r="AE63" s="24"/>
    </row>
    <row r="64" spans="1:32">
      <c r="A64"/>
      <c r="B64"/>
      <c r="C64"/>
      <c r="D64" s="454"/>
      <c r="E64" s="320"/>
      <c r="H64"/>
      <c r="I64"/>
      <c r="J64"/>
      <c r="K64"/>
      <c r="L64"/>
      <c r="M64"/>
      <c r="P64" s="456"/>
      <c r="Q64" s="590"/>
      <c r="R64" s="536"/>
      <c r="S64" s="536"/>
      <c r="T64" s="536"/>
      <c r="U64" s="536"/>
      <c r="V64" s="456"/>
      <c r="W64" s="641">
        <f>SUM(D62:W62)</f>
        <v>1128693.3699999999</v>
      </c>
    </row>
    <row r="65" spans="1:25">
      <c r="A65"/>
      <c r="B65"/>
      <c r="C65"/>
      <c r="D65"/>
      <c r="E65" s="305"/>
      <c r="H65"/>
      <c r="I65"/>
      <c r="J65"/>
      <c r="K65" s="134"/>
      <c r="L65" s="188"/>
      <c r="M65"/>
      <c r="N65"/>
      <c r="O65" s="454"/>
      <c r="P65" s="456"/>
      <c r="Q65" s="454"/>
      <c r="R65" s="456"/>
      <c r="S65" s="456"/>
      <c r="T65" s="456"/>
      <c r="U65" s="456"/>
      <c r="V65" s="456"/>
      <c r="W65" s="281"/>
    </row>
    <row r="66" spans="1:25">
      <c r="A66"/>
      <c r="B66"/>
      <c r="C66"/>
      <c r="D66"/>
      <c r="E66" s="305"/>
      <c r="H66"/>
      <c r="I66"/>
      <c r="J66"/>
      <c r="K66" s="134"/>
      <c r="L66"/>
      <c r="M66"/>
      <c r="N66"/>
      <c r="O66" s="542"/>
      <c r="P66" s="455"/>
      <c r="Q66" s="454"/>
      <c r="R66" s="456"/>
      <c r="S66" s="456"/>
      <c r="T66" s="456"/>
      <c r="U66" s="456"/>
      <c r="V66" s="35"/>
      <c r="W66" s="282"/>
      <c r="X66" s="37"/>
      <c r="Y66" s="38" t="s">
        <v>135</v>
      </c>
    </row>
    <row r="67" spans="1:25">
      <c r="A67"/>
      <c r="B67"/>
      <c r="C67"/>
      <c r="D67"/>
      <c r="E67" s="305"/>
      <c r="J67"/>
      <c r="K67" s="134"/>
      <c r="L67"/>
      <c r="M67"/>
      <c r="N67"/>
      <c r="O67" s="2"/>
      <c r="P67"/>
      <c r="Q67"/>
      <c r="V67" s="204" t="s">
        <v>136</v>
      </c>
      <c r="W67" s="279">
        <f>SUM(H62:O62)</f>
        <v>371476.45</v>
      </c>
      <c r="X67" s="37"/>
      <c r="Y67" s="41">
        <f>W67/W70</f>
        <v>0.32912078680855544</v>
      </c>
    </row>
    <row r="68" spans="1:25">
      <c r="A68"/>
      <c r="B68"/>
      <c r="C68"/>
      <c r="D68"/>
      <c r="E68" s="305"/>
      <c r="H68"/>
      <c r="I68"/>
      <c r="J68"/>
      <c r="K68" s="134"/>
      <c r="L68"/>
      <c r="M68"/>
      <c r="N68"/>
      <c r="O68" s="2"/>
      <c r="P68"/>
      <c r="Q68"/>
      <c r="V68" s="204" t="s">
        <v>137</v>
      </c>
      <c r="W68" s="279">
        <f>SUM(P62:W62)</f>
        <v>745716.92</v>
      </c>
      <c r="X68" s="37"/>
      <c r="Y68" s="41">
        <f>W68/W70</f>
        <v>0.66069044066414595</v>
      </c>
    </row>
    <row r="69" spans="1:25">
      <c r="A69"/>
      <c r="B69"/>
      <c r="C69"/>
      <c r="D69"/>
      <c r="E69" s="305"/>
      <c r="H69"/>
      <c r="I69"/>
      <c r="J69"/>
      <c r="K69" s="134"/>
      <c r="L69"/>
      <c r="M69"/>
      <c r="N69"/>
      <c r="O69" s="2"/>
      <c r="P69"/>
      <c r="Q69"/>
      <c r="V69" s="204" t="s">
        <v>138</v>
      </c>
      <c r="W69" s="279">
        <f>E62+D62</f>
        <v>11500</v>
      </c>
      <c r="X69" s="37"/>
      <c r="Y69" s="41">
        <f>W69/W70</f>
        <v>1.0188772527298533E-2</v>
      </c>
    </row>
    <row r="70" spans="1:25">
      <c r="A70"/>
      <c r="B70"/>
      <c r="C70"/>
      <c r="D70"/>
      <c r="E70" s="305"/>
      <c r="H70"/>
      <c r="I70"/>
      <c r="J70"/>
      <c r="K70" s="134"/>
      <c r="L70"/>
      <c r="M70"/>
      <c r="N70"/>
      <c r="O70" s="2"/>
      <c r="P70"/>
      <c r="Q70"/>
      <c r="V70" s="204" t="s">
        <v>56</v>
      </c>
      <c r="W70" s="642">
        <f>SUM(W67:W69)</f>
        <v>1128693.3700000001</v>
      </c>
      <c r="X70" s="37"/>
      <c r="Y70" s="43"/>
    </row>
    <row r="71" spans="1:25">
      <c r="A71"/>
      <c r="B71"/>
      <c r="C71"/>
      <c r="D71"/>
      <c r="H71"/>
      <c r="I71"/>
      <c r="J71"/>
      <c r="K71" s="134"/>
      <c r="L71"/>
      <c r="M71"/>
      <c r="N71"/>
      <c r="O71"/>
      <c r="P71"/>
      <c r="Q71"/>
      <c r="V71" s="35"/>
      <c r="W71" s="36"/>
      <c r="X71" s="37"/>
      <c r="Y71" s="37"/>
    </row>
    <row r="72" spans="1:25">
      <c r="A72"/>
      <c r="B72"/>
      <c r="C72"/>
      <c r="D72"/>
      <c r="E72" s="96"/>
      <c r="H72" s="2"/>
      <c r="I72" s="2"/>
      <c r="J72" s="320"/>
      <c r="K72" s="454"/>
      <c r="L72" s="454"/>
      <c r="M72" s="454"/>
      <c r="N72" s="454"/>
      <c r="O72" s="466"/>
      <c r="P72" s="455"/>
      <c r="Q72"/>
      <c r="V72" s="35"/>
      <c r="W72" s="44">
        <f>W70-W64</f>
        <v>0</v>
      </c>
      <c r="X72" s="37"/>
      <c r="Y72" s="37"/>
    </row>
    <row r="73" spans="1:25">
      <c r="A73"/>
      <c r="B73"/>
      <c r="C73"/>
      <c r="D73"/>
      <c r="E73" s="96"/>
      <c r="H73" s="2"/>
      <c r="I73" s="2"/>
      <c r="J73" s="320"/>
      <c r="K73" s="454"/>
      <c r="L73" s="454"/>
      <c r="M73" s="454"/>
      <c r="N73" s="454"/>
      <c r="O73" s="466"/>
      <c r="P73" s="455"/>
      <c r="Q73"/>
      <c r="V73" s="456"/>
      <c r="W73" s="281"/>
    </row>
    <row r="74" spans="1:25">
      <c r="A74"/>
      <c r="B74"/>
      <c r="C74"/>
      <c r="D74"/>
      <c r="E74" s="96"/>
      <c r="H74" s="2"/>
      <c r="I74" s="2"/>
      <c r="J74" s="320"/>
      <c r="K74" s="454"/>
      <c r="L74" s="454"/>
      <c r="M74" s="454"/>
      <c r="N74" s="454"/>
      <c r="O74" s="466"/>
      <c r="P74" s="455"/>
      <c r="Q74"/>
      <c r="V74" s="456"/>
      <c r="W74" s="534"/>
    </row>
    <row r="75" spans="1:25">
      <c r="A75"/>
      <c r="B75"/>
      <c r="C75"/>
      <c r="D75"/>
      <c r="E75" s="96"/>
      <c r="H75" s="2"/>
      <c r="I75" s="2"/>
      <c r="J75" s="320"/>
      <c r="K75" s="454"/>
      <c r="L75" s="454"/>
      <c r="M75" s="454"/>
      <c r="N75" s="454"/>
      <c r="O75" s="466"/>
      <c r="P75" s="455"/>
      <c r="Q75"/>
      <c r="V75" s="456"/>
      <c r="W75" s="281"/>
    </row>
    <row r="76" spans="1:25">
      <c r="A76"/>
      <c r="B76"/>
      <c r="C76"/>
      <c r="D76"/>
      <c r="E76"/>
      <c r="H76" s="2"/>
      <c r="I76" s="2"/>
      <c r="J76" s="320"/>
      <c r="K76" s="454"/>
      <c r="L76" s="454"/>
      <c r="M76" s="454"/>
      <c r="N76" s="454"/>
      <c r="O76" s="466"/>
      <c r="P76" s="455"/>
      <c r="Q76"/>
      <c r="W76" s="281"/>
    </row>
    <row r="77" spans="1:25">
      <c r="A77"/>
      <c r="B77"/>
      <c r="C77"/>
      <c r="D77"/>
      <c r="E77"/>
      <c r="J77"/>
      <c r="K77"/>
      <c r="L77"/>
      <c r="M77"/>
      <c r="N77"/>
      <c r="O77"/>
      <c r="P77"/>
      <c r="Q77"/>
      <c r="V77" s="456"/>
      <c r="W77" s="281"/>
      <c r="X77" s="105"/>
    </row>
    <row r="78" spans="1:25">
      <c r="A78"/>
      <c r="B78"/>
      <c r="G78"/>
      <c r="H78"/>
      <c r="I78"/>
      <c r="J78"/>
      <c r="K78"/>
      <c r="L78"/>
      <c r="M78"/>
      <c r="N78"/>
      <c r="O78"/>
      <c r="P78"/>
      <c r="Q78"/>
      <c r="V78" s="456"/>
      <c r="W78" s="281"/>
      <c r="X78" s="105"/>
    </row>
    <row r="79" spans="1:25">
      <c r="A79"/>
      <c r="B79"/>
      <c r="G79"/>
      <c r="H79"/>
      <c r="I79"/>
      <c r="J79"/>
      <c r="K79"/>
      <c r="L79"/>
      <c r="M79"/>
      <c r="N79"/>
      <c r="O79"/>
      <c r="P79"/>
      <c r="Q79"/>
      <c r="V79" s="456"/>
      <c r="W79" s="281"/>
      <c r="X79" s="105"/>
    </row>
    <row r="80" spans="1:25">
      <c r="A80"/>
      <c r="B80"/>
      <c r="G80"/>
      <c r="H80"/>
      <c r="I80"/>
      <c r="J80"/>
      <c r="K80"/>
      <c r="L80"/>
      <c r="M80"/>
      <c r="N80"/>
      <c r="O80"/>
      <c r="P80"/>
      <c r="Q80"/>
      <c r="W80" s="281"/>
      <c r="X80" s="105"/>
    </row>
    <row r="81" spans="1:24">
      <c r="A81"/>
      <c r="B81"/>
      <c r="C81"/>
      <c r="G81"/>
      <c r="H81"/>
      <c r="I81"/>
      <c r="J81"/>
      <c r="K81"/>
      <c r="L81"/>
      <c r="M81"/>
      <c r="N81"/>
      <c r="O81"/>
      <c r="P81"/>
      <c r="Q81"/>
      <c r="V81" s="456"/>
      <c r="W81" s="281"/>
      <c r="X81" s="105"/>
    </row>
    <row r="82" spans="1:24">
      <c r="A82"/>
      <c r="B82"/>
      <c r="G82"/>
      <c r="H82"/>
      <c r="I82"/>
      <c r="J82"/>
      <c r="K82"/>
      <c r="L82"/>
      <c r="M82"/>
      <c r="N82"/>
      <c r="O82"/>
      <c r="P82"/>
      <c r="Q82"/>
      <c r="W82" s="281"/>
      <c r="X82" s="105"/>
    </row>
    <row r="83" spans="1:24">
      <c r="A83"/>
      <c r="B83"/>
      <c r="G83"/>
      <c r="H83"/>
      <c r="I83"/>
      <c r="J83"/>
      <c r="K83"/>
      <c r="L83"/>
      <c r="M83"/>
      <c r="N83"/>
      <c r="O83"/>
      <c r="P83"/>
      <c r="Q83"/>
      <c r="W83" s="281"/>
      <c r="X83" s="105"/>
    </row>
    <row r="84" spans="1:24">
      <c r="A84"/>
      <c r="B84"/>
      <c r="G84"/>
      <c r="H84"/>
      <c r="I84"/>
      <c r="J84"/>
      <c r="K84"/>
      <c r="L84"/>
      <c r="M84"/>
      <c r="N84"/>
      <c r="O84"/>
      <c r="P84"/>
      <c r="Q84"/>
      <c r="W84" s="105"/>
      <c r="X84" s="105"/>
    </row>
    <row r="85" spans="1:24">
      <c r="A85"/>
      <c r="B85"/>
      <c r="G85"/>
      <c r="H85"/>
      <c r="I85"/>
      <c r="J85"/>
      <c r="K85"/>
      <c r="M85"/>
      <c r="N85"/>
      <c r="O85"/>
      <c r="P85"/>
      <c r="Q85"/>
      <c r="W85" s="105"/>
      <c r="X85" s="105"/>
    </row>
    <row r="86" spans="1:24">
      <c r="A86"/>
      <c r="B86"/>
      <c r="G86"/>
      <c r="H86"/>
      <c r="I86"/>
      <c r="J86"/>
      <c r="K86"/>
      <c r="M86"/>
      <c r="N86"/>
      <c r="O86"/>
      <c r="P86"/>
      <c r="Q86"/>
      <c r="W86" s="105"/>
      <c r="X86" s="105"/>
    </row>
    <row r="87" spans="1:24">
      <c r="A87"/>
      <c r="B87"/>
      <c r="C87"/>
      <c r="D87"/>
      <c r="E87"/>
      <c r="F87"/>
      <c r="G87"/>
      <c r="H87"/>
      <c r="I87"/>
      <c r="J87"/>
      <c r="K87"/>
      <c r="M87"/>
      <c r="N87"/>
      <c r="O87"/>
      <c r="P87"/>
      <c r="Q87"/>
      <c r="W87" s="105"/>
      <c r="X87" s="105"/>
    </row>
    <row r="88" spans="1:24">
      <c r="B88"/>
      <c r="C88"/>
      <c r="D88"/>
      <c r="E88"/>
      <c r="F88"/>
      <c r="G88"/>
      <c r="H88"/>
      <c r="I88"/>
      <c r="J88"/>
      <c r="K88"/>
      <c r="M88"/>
      <c r="N88"/>
      <c r="O88"/>
      <c r="P88"/>
      <c r="W88" s="105"/>
      <c r="X88" s="105"/>
    </row>
    <row r="89" spans="1:24">
      <c r="B89"/>
      <c r="C89"/>
      <c r="D89"/>
      <c r="E89"/>
      <c r="F89"/>
      <c r="G89"/>
      <c r="H89"/>
      <c r="I89"/>
      <c r="J89"/>
      <c r="K89"/>
      <c r="M89"/>
      <c r="N89"/>
      <c r="O89"/>
      <c r="P89"/>
      <c r="W89" s="105"/>
      <c r="X89" s="105"/>
    </row>
    <row r="90" spans="1:24">
      <c r="B90"/>
      <c r="C90"/>
      <c r="D90"/>
      <c r="E90"/>
      <c r="F90"/>
      <c r="G90"/>
      <c r="H90"/>
      <c r="I90"/>
      <c r="J90"/>
      <c r="K90"/>
      <c r="M90"/>
      <c r="N90"/>
      <c r="O90"/>
      <c r="P90"/>
      <c r="W90" s="105"/>
      <c r="X90" s="105"/>
    </row>
    <row r="91" spans="1:24">
      <c r="B91"/>
      <c r="C91"/>
      <c r="D91"/>
      <c r="E91"/>
      <c r="F91"/>
      <c r="G91"/>
      <c r="H91"/>
      <c r="I91"/>
      <c r="J91"/>
      <c r="K91"/>
      <c r="M91"/>
    </row>
    <row r="92" spans="1:24"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24"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24">
      <c r="B94"/>
      <c r="C94"/>
      <c r="D94"/>
      <c r="E94"/>
      <c r="F94"/>
      <c r="G94"/>
      <c r="N94"/>
    </row>
    <row r="95" spans="1:24">
      <c r="B95"/>
      <c r="C95"/>
      <c r="D95"/>
      <c r="E95"/>
      <c r="F95"/>
      <c r="G95"/>
      <c r="N95"/>
    </row>
    <row r="96" spans="1:24">
      <c r="B96"/>
      <c r="C96"/>
      <c r="D96"/>
      <c r="E96"/>
      <c r="F96"/>
      <c r="G96"/>
      <c r="N96"/>
    </row>
    <row r="97" spans="2:14">
      <c r="B97"/>
      <c r="C97"/>
      <c r="D97"/>
      <c r="E97"/>
      <c r="F97"/>
      <c r="G97"/>
      <c r="N97"/>
    </row>
    <row r="98" spans="2:14">
      <c r="B98"/>
      <c r="C98"/>
      <c r="D98"/>
      <c r="E98"/>
      <c r="F98"/>
      <c r="G98"/>
      <c r="N98"/>
    </row>
    <row r="99" spans="2:14">
      <c r="B99"/>
      <c r="C99"/>
      <c r="D99"/>
      <c r="E99"/>
      <c r="F99"/>
      <c r="G99"/>
    </row>
    <row r="100" spans="2:14">
      <c r="B100"/>
      <c r="C100"/>
      <c r="D100"/>
      <c r="E100"/>
      <c r="F100"/>
      <c r="G100"/>
    </row>
    <row r="101" spans="2:14">
      <c r="B101"/>
      <c r="C101"/>
      <c r="D101"/>
      <c r="E101"/>
      <c r="F101"/>
      <c r="G101"/>
    </row>
    <row r="102" spans="2:14">
      <c r="B102"/>
      <c r="C102"/>
      <c r="D102"/>
      <c r="E102"/>
      <c r="F102"/>
      <c r="G102"/>
    </row>
    <row r="103" spans="2:14">
      <c r="B103"/>
      <c r="C103"/>
      <c r="D103"/>
      <c r="E103"/>
      <c r="F103"/>
      <c r="G103"/>
    </row>
    <row r="104" spans="2:14">
      <c r="B104"/>
      <c r="C104"/>
      <c r="D104"/>
      <c r="E104"/>
      <c r="F104"/>
    </row>
    <row r="105" spans="2:14">
      <c r="B105"/>
      <c r="C105"/>
      <c r="D105"/>
      <c r="E105"/>
      <c r="F105"/>
      <c r="G105"/>
    </row>
    <row r="106" spans="2:14">
      <c r="B106"/>
      <c r="C106"/>
      <c r="D106"/>
      <c r="E106"/>
      <c r="F106"/>
      <c r="G106"/>
    </row>
    <row r="107" spans="2:14">
      <c r="B107"/>
      <c r="C107"/>
      <c r="D107"/>
      <c r="E107"/>
      <c r="F107"/>
      <c r="G107"/>
    </row>
    <row r="108" spans="2:14">
      <c r="B108"/>
      <c r="C108"/>
      <c r="D108"/>
      <c r="E108"/>
      <c r="F108"/>
      <c r="G108"/>
    </row>
    <row r="109" spans="2:14">
      <c r="B109"/>
      <c r="C109"/>
      <c r="D109"/>
      <c r="E109"/>
      <c r="F109"/>
      <c r="G109"/>
    </row>
    <row r="110" spans="2:14">
      <c r="B110"/>
      <c r="C110"/>
      <c r="D110"/>
      <c r="E110"/>
      <c r="F110"/>
      <c r="G110"/>
    </row>
    <row r="111" spans="2:14">
      <c r="B111"/>
      <c r="C111"/>
      <c r="D111"/>
      <c r="E111"/>
      <c r="F111"/>
      <c r="G111"/>
    </row>
    <row r="112" spans="2:14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  <row r="136" spans="2:7">
      <c r="B136"/>
      <c r="C136"/>
      <c r="D136"/>
      <c r="E136"/>
      <c r="F136"/>
      <c r="G136"/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  <row r="141" spans="2:7">
      <c r="B141"/>
      <c r="C141"/>
      <c r="D141"/>
      <c r="E141"/>
      <c r="F141"/>
      <c r="G141"/>
    </row>
    <row r="142" spans="2:7">
      <c r="B142"/>
      <c r="C142"/>
      <c r="D142"/>
      <c r="E142"/>
      <c r="F142"/>
      <c r="G142"/>
    </row>
    <row r="143" spans="2:7">
      <c r="B143"/>
      <c r="C143"/>
      <c r="D143"/>
      <c r="E143"/>
      <c r="F143"/>
      <c r="G143"/>
    </row>
    <row r="144" spans="2:7">
      <c r="B144"/>
      <c r="C144"/>
      <c r="D144"/>
      <c r="E144"/>
      <c r="F144"/>
      <c r="G144"/>
    </row>
    <row r="145" spans="2:7">
      <c r="B145"/>
      <c r="C145"/>
      <c r="D145"/>
      <c r="E145"/>
      <c r="F145"/>
      <c r="G145"/>
    </row>
    <row r="146" spans="2:7">
      <c r="B146"/>
      <c r="C146"/>
      <c r="D146"/>
      <c r="E146"/>
      <c r="F146"/>
      <c r="G146"/>
    </row>
    <row r="147" spans="2:7">
      <c r="B147"/>
      <c r="C147"/>
      <c r="D147"/>
      <c r="E147"/>
      <c r="F147"/>
      <c r="G147"/>
    </row>
  </sheetData>
  <mergeCells count="6">
    <mergeCell ref="AD2:AF2"/>
    <mergeCell ref="D1:E1"/>
    <mergeCell ref="F1:G1"/>
    <mergeCell ref="Y2:AB2"/>
    <mergeCell ref="H1:O1"/>
    <mergeCell ref="P1:V1"/>
  </mergeCells>
  <phoneticPr fontId="2" type="noConversion"/>
  <pageMargins left="0.7" right="0.7" top="0.75" bottom="0.75" header="0.3" footer="0.3"/>
  <pageSetup paperSize="14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AG143"/>
  <sheetViews>
    <sheetView topLeftCell="K4" zoomScale="55" zoomScaleNormal="55" zoomScalePageLayoutView="85" workbookViewId="0">
      <selection activeCell="V60" sqref="V60"/>
    </sheetView>
  </sheetViews>
  <sheetFormatPr defaultColWidth="8.85546875" defaultRowHeight="12.75" customHeight="1"/>
  <cols>
    <col min="1" max="1" width="10.7109375" style="2" customWidth="1"/>
    <col min="2" max="2" width="28.5703125" style="2" customWidth="1"/>
    <col min="3" max="3" width="14.5703125" style="2" bestFit="1" customWidth="1"/>
    <col min="4" max="4" width="10.42578125" style="2" bestFit="1" customWidth="1"/>
    <col min="5" max="5" width="11.140625" style="2" customWidth="1"/>
    <col min="6" max="6" width="11.42578125" style="2" customWidth="1"/>
    <col min="7" max="7" width="12" style="2" bestFit="1" customWidth="1"/>
    <col min="8" max="8" width="11.42578125" style="105" bestFit="1" customWidth="1"/>
    <col min="9" max="9" width="10.85546875" style="105" bestFit="1" customWidth="1"/>
    <col min="10" max="10" width="12" style="105" bestFit="1" customWidth="1"/>
    <col min="11" max="12" width="11.140625" style="105" bestFit="1" customWidth="1"/>
    <col min="13" max="13" width="10.7109375" style="105" bestFit="1" customWidth="1"/>
    <col min="14" max="14" width="9.7109375" style="105" bestFit="1" customWidth="1"/>
    <col min="15" max="15" width="12.140625" style="105" bestFit="1" customWidth="1"/>
    <col min="16" max="16" width="14.85546875" style="105" bestFit="1" customWidth="1"/>
    <col min="17" max="17" width="13.5703125" style="105" customWidth="1"/>
    <col min="18" max="18" width="13.7109375" style="105" bestFit="1" customWidth="1"/>
    <col min="19" max="19" width="12.5703125" style="105" bestFit="1" customWidth="1"/>
    <col min="20" max="20" width="13.140625" style="105" customWidth="1"/>
    <col min="21" max="21" width="10.85546875" style="105" bestFit="1" customWidth="1"/>
    <col min="22" max="22" width="17.85546875" style="105" bestFit="1" customWidth="1"/>
    <col min="23" max="23" width="15.5703125" style="33" bestFit="1" customWidth="1"/>
    <col min="24" max="24" width="6.140625" style="2" customWidth="1"/>
    <col min="25" max="25" width="12.42578125" style="2" customWidth="1"/>
    <col min="26" max="26" width="13.140625" style="2" customWidth="1"/>
    <col min="27" max="27" width="14.28515625" style="2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738" t="s">
        <v>2</v>
      </c>
      <c r="E1" s="739"/>
      <c r="F1" s="740" t="s">
        <v>111</v>
      </c>
      <c r="G1" s="741"/>
      <c r="H1" s="742" t="s">
        <v>112</v>
      </c>
      <c r="I1" s="742"/>
      <c r="J1" s="742"/>
      <c r="K1" s="742"/>
      <c r="L1" s="742"/>
      <c r="M1" s="742"/>
      <c r="N1" s="742"/>
      <c r="O1" s="742"/>
      <c r="P1" s="743" t="s">
        <v>113</v>
      </c>
      <c r="Q1" s="744"/>
      <c r="R1" s="744"/>
      <c r="S1" s="744"/>
      <c r="T1" s="744"/>
      <c r="U1" s="744"/>
      <c r="V1" s="745"/>
      <c r="W1" s="324" t="s">
        <v>111</v>
      </c>
    </row>
    <row r="2" spans="1:33">
      <c r="A2" s="116" t="s">
        <v>91</v>
      </c>
      <c r="B2" s="31" t="s">
        <v>114</v>
      </c>
      <c r="C2" s="63" t="s">
        <v>115</v>
      </c>
      <c r="D2" s="424" t="s">
        <v>116</v>
      </c>
      <c r="E2" s="425" t="s">
        <v>117</v>
      </c>
      <c r="F2" s="426" t="s">
        <v>118</v>
      </c>
      <c r="G2" s="427" t="s">
        <v>118</v>
      </c>
      <c r="H2" s="428" t="s">
        <v>27</v>
      </c>
      <c r="I2" s="428" t="s">
        <v>66</v>
      </c>
      <c r="J2" s="428" t="s">
        <v>67</v>
      </c>
      <c r="K2" s="428" t="s">
        <v>25</v>
      </c>
      <c r="L2" s="428" t="s">
        <v>23</v>
      </c>
      <c r="M2" s="428" t="s">
        <v>119</v>
      </c>
      <c r="N2" s="428" t="s">
        <v>16</v>
      </c>
      <c r="O2" s="428" t="s">
        <v>69</v>
      </c>
      <c r="P2" s="432" t="s">
        <v>120</v>
      </c>
      <c r="Q2" s="429" t="s">
        <v>50</v>
      </c>
      <c r="R2" s="429" t="s">
        <v>121</v>
      </c>
      <c r="S2" s="429" t="s">
        <v>53</v>
      </c>
      <c r="T2" s="429" t="s">
        <v>57</v>
      </c>
      <c r="U2" s="429" t="s">
        <v>123</v>
      </c>
      <c r="V2" s="430" t="s">
        <v>124</v>
      </c>
      <c r="W2" s="431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330"/>
      <c r="B3" s="384"/>
      <c r="C3" s="385"/>
      <c r="D3" s="585">
        <v>2000</v>
      </c>
      <c r="E3" s="585">
        <v>9300</v>
      </c>
      <c r="F3" s="586">
        <v>0</v>
      </c>
      <c r="G3" s="587">
        <v>0</v>
      </c>
      <c r="H3" s="585">
        <v>14845.080000000002</v>
      </c>
      <c r="I3" s="585">
        <v>47065.000000000007</v>
      </c>
      <c r="J3" s="585">
        <v>154796</v>
      </c>
      <c r="K3" s="585">
        <v>59712.679999999993</v>
      </c>
      <c r="L3" s="585">
        <v>21245.91</v>
      </c>
      <c r="M3" s="585">
        <v>32000.370000000003</v>
      </c>
      <c r="N3" s="585">
        <v>4000</v>
      </c>
      <c r="O3" s="585">
        <v>26572.500000000004</v>
      </c>
      <c r="P3" s="588">
        <v>213589</v>
      </c>
      <c r="Q3" s="585">
        <v>130109</v>
      </c>
      <c r="R3" s="585">
        <v>65471</v>
      </c>
      <c r="S3" s="585">
        <v>4185</v>
      </c>
      <c r="T3" s="585">
        <v>33181</v>
      </c>
      <c r="U3" s="585">
        <v>27298</v>
      </c>
      <c r="V3" s="589">
        <v>231983</v>
      </c>
      <c r="W3" s="589">
        <v>3721.58</v>
      </c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 s="342" customFormat="1">
      <c r="A4" s="340">
        <v>46113</v>
      </c>
      <c r="B4" s="369" t="s">
        <v>139</v>
      </c>
      <c r="C4" s="591" t="s">
        <v>22</v>
      </c>
      <c r="D4" s="377"/>
      <c r="E4" s="377">
        <v>-3688</v>
      </c>
      <c r="F4" s="581"/>
      <c r="G4" s="582"/>
      <c r="H4" s="377"/>
      <c r="I4" s="377"/>
      <c r="J4" s="377">
        <v>-1928</v>
      </c>
      <c r="K4" s="377">
        <v>580</v>
      </c>
      <c r="L4" s="377"/>
      <c r="M4" s="377"/>
      <c r="N4" s="377"/>
      <c r="O4" s="377"/>
      <c r="P4" s="378"/>
      <c r="Q4" s="377"/>
      <c r="R4" s="377"/>
      <c r="S4" s="377"/>
      <c r="T4" s="377"/>
      <c r="U4" s="377"/>
      <c r="V4" s="379"/>
      <c r="W4" s="399"/>
      <c r="Y4" s="343" t="s">
        <v>8</v>
      </c>
      <c r="Z4" s="23">
        <f>Summary!T21</f>
        <v>350</v>
      </c>
      <c r="AA4" s="23">
        <f>SUMIF($C$2:$C$58,Y4,$F$2:$F$58)+SUMIF($C$2:$C$58,Y4,$G$2:$G$58)</f>
        <v>-277</v>
      </c>
      <c r="AB4" s="26">
        <f t="shared" ref="AB4:AB21" si="0">Z4+AA4</f>
        <v>73</v>
      </c>
      <c r="AD4" s="343"/>
      <c r="AE4" s="19"/>
      <c r="AF4" s="410"/>
    </row>
    <row r="5" spans="1:33" s="342" customFormat="1">
      <c r="A5" s="340">
        <v>46113</v>
      </c>
      <c r="B5" s="341" t="s">
        <v>140</v>
      </c>
      <c r="C5" s="591" t="s">
        <v>12</v>
      </c>
      <c r="D5" s="377"/>
      <c r="E5" s="377">
        <v>-275</v>
      </c>
      <c r="F5" s="378"/>
      <c r="G5" s="379"/>
      <c r="H5" s="377"/>
      <c r="I5" s="377"/>
      <c r="J5" s="377"/>
      <c r="K5" s="377"/>
      <c r="L5" s="377"/>
      <c r="M5" s="377"/>
      <c r="N5" s="377"/>
      <c r="O5" s="377"/>
      <c r="P5" s="378"/>
      <c r="Q5" s="377"/>
      <c r="R5" s="377"/>
      <c r="S5" s="377"/>
      <c r="T5" s="377"/>
      <c r="U5" s="377"/>
      <c r="V5" s="379"/>
      <c r="W5" s="399"/>
      <c r="Y5" s="343" t="s">
        <v>9</v>
      </c>
      <c r="Z5" s="23">
        <f>Summary!T22</f>
        <v>335</v>
      </c>
      <c r="AA5" s="23">
        <f>SUMIF($C$2:$C$58,Y5,$F$2:$F$58)+SUMIF($C$2:$C$58,Y5,$G$2:$G$58)</f>
        <v>-342</v>
      </c>
      <c r="AB5" s="26">
        <f t="shared" si="0"/>
        <v>-7</v>
      </c>
      <c r="AD5" s="390" t="s">
        <v>128</v>
      </c>
      <c r="AE5" s="19"/>
      <c r="AF5" s="344"/>
    </row>
    <row r="6" spans="1:33" s="342" customFormat="1">
      <c r="A6" s="340">
        <v>46113</v>
      </c>
      <c r="B6" s="341" t="s">
        <v>24</v>
      </c>
      <c r="C6" s="591" t="s">
        <v>24</v>
      </c>
      <c r="D6" s="377"/>
      <c r="E6" s="377">
        <v>-500</v>
      </c>
      <c r="F6" s="378"/>
      <c r="G6" s="379"/>
      <c r="H6" s="377"/>
      <c r="I6" s="377"/>
      <c r="J6" s="377"/>
      <c r="K6" s="377"/>
      <c r="L6" s="377"/>
      <c r="M6" s="377"/>
      <c r="N6" s="377"/>
      <c r="O6" s="377"/>
      <c r="P6" s="378"/>
      <c r="Q6" s="377"/>
      <c r="R6" s="377"/>
      <c r="S6" s="377"/>
      <c r="T6" s="377"/>
      <c r="U6" s="377"/>
      <c r="V6" s="379"/>
      <c r="W6" s="399"/>
      <c r="Y6" s="343" t="s">
        <v>10</v>
      </c>
      <c r="Z6" s="23">
        <f>Summary!T23</f>
        <v>20</v>
      </c>
      <c r="AA6" s="23">
        <f>SUMIF($C$2:$C$58,Y6,$F$2:$F$58)+SUMIF($C$2:$C$58,Y6,$G$2:$G$58)</f>
        <v>0</v>
      </c>
      <c r="AB6" s="26">
        <f t="shared" si="0"/>
        <v>20</v>
      </c>
      <c r="AD6" s="343" t="s">
        <v>49</v>
      </c>
      <c r="AE6" s="411">
        <f>+P4+P5</f>
        <v>0</v>
      </c>
      <c r="AF6" s="344"/>
    </row>
    <row r="7" spans="1:33" s="342" customFormat="1">
      <c r="A7" s="340">
        <v>46113</v>
      </c>
      <c r="B7" s="341" t="s">
        <v>22</v>
      </c>
      <c r="C7" s="591" t="s">
        <v>22</v>
      </c>
      <c r="D7" s="377"/>
      <c r="E7" s="377">
        <v>-4250</v>
      </c>
      <c r="F7" s="378"/>
      <c r="G7" s="379"/>
      <c r="H7" s="377"/>
      <c r="I7" s="377"/>
      <c r="J7" s="377"/>
      <c r="K7" s="377"/>
      <c r="L7" s="377"/>
      <c r="M7" s="377"/>
      <c r="N7" s="377"/>
      <c r="O7" s="379"/>
      <c r="P7" s="378"/>
      <c r="Q7" s="377"/>
      <c r="R7" s="377"/>
      <c r="S7" s="377"/>
      <c r="T7" s="377"/>
      <c r="U7" s="377"/>
      <c r="V7" s="379"/>
      <c r="W7" s="399"/>
      <c r="Y7" s="345" t="s">
        <v>11</v>
      </c>
      <c r="Z7" s="23">
        <f>Summary!T24</f>
        <v>20</v>
      </c>
      <c r="AA7" s="23">
        <f>SUMIF($C$2:$C$58,Y7,$F$2:$F$58)+SUMIF($C$2:$C$58,Y7,$G$2:$G$58)</f>
        <v>-539</v>
      </c>
      <c r="AB7" s="26">
        <f t="shared" si="0"/>
        <v>-519</v>
      </c>
      <c r="AD7" s="343" t="s">
        <v>111</v>
      </c>
      <c r="AE7" s="411">
        <f>Q7+Q4+Q9+Q11+Q15+Q55</f>
        <v>2000</v>
      </c>
      <c r="AF7" s="344"/>
    </row>
    <row r="8" spans="1:33" s="342" customFormat="1">
      <c r="A8" s="340">
        <v>46113</v>
      </c>
      <c r="B8" s="341" t="s">
        <v>22</v>
      </c>
      <c r="C8" s="591" t="s">
        <v>22</v>
      </c>
      <c r="D8" s="377"/>
      <c r="E8" s="377">
        <v>3320</v>
      </c>
      <c r="F8" s="378"/>
      <c r="G8" s="377"/>
      <c r="H8" s="414"/>
      <c r="I8" s="377"/>
      <c r="J8" s="377"/>
      <c r="K8" s="377"/>
      <c r="L8" s="377"/>
      <c r="M8" s="377"/>
      <c r="N8" s="377"/>
      <c r="O8" s="415"/>
      <c r="P8" s="377"/>
      <c r="Q8" s="377"/>
      <c r="R8" s="377"/>
      <c r="S8" s="377"/>
      <c r="T8" s="377"/>
      <c r="U8" s="377"/>
      <c r="V8" s="377"/>
      <c r="W8" s="583"/>
      <c r="Y8" s="343" t="s">
        <v>12</v>
      </c>
      <c r="Z8" s="23">
        <f>Summary!T25</f>
        <v>700</v>
      </c>
      <c r="AA8" s="23">
        <f>SUMIF($C$2:$C$58,Y8,$F$2:$F$58)+SUMIF($C$2:$C$58,Y8,$G$2:$G$58)+E5+E40+E48</f>
        <v>-751.29</v>
      </c>
      <c r="AB8" s="26">
        <f t="shared" si="0"/>
        <v>-51.289999999999964</v>
      </c>
      <c r="AD8" s="343" t="s">
        <v>131</v>
      </c>
      <c r="AE8" s="411">
        <f>R34</f>
        <v>300</v>
      </c>
      <c r="AF8" s="344"/>
    </row>
    <row r="9" spans="1:33" s="342" customFormat="1">
      <c r="A9" s="340">
        <v>46113</v>
      </c>
      <c r="B9" s="341" t="s">
        <v>28</v>
      </c>
      <c r="C9" s="22" t="s">
        <v>141</v>
      </c>
      <c r="D9" s="378"/>
      <c r="E9" s="377">
        <v>-880</v>
      </c>
      <c r="F9" s="378"/>
      <c r="G9" s="379"/>
      <c r="H9" s="377"/>
      <c r="I9" s="377"/>
      <c r="J9" s="377"/>
      <c r="K9" s="377"/>
      <c r="L9" s="377"/>
      <c r="M9" s="377"/>
      <c r="N9" s="377"/>
      <c r="O9" s="377"/>
      <c r="P9" s="378"/>
      <c r="Q9" s="377"/>
      <c r="R9" s="377"/>
      <c r="S9" s="377"/>
      <c r="T9" s="377"/>
      <c r="U9" s="377"/>
      <c r="V9" s="380"/>
      <c r="W9" s="380"/>
      <c r="Y9" s="343" t="s">
        <v>13</v>
      </c>
      <c r="Z9" s="23">
        <f>Summary!T26</f>
        <v>1300</v>
      </c>
      <c r="AA9" s="23">
        <f>SUMIF($C$2:$C$58,Y9,$F$2:$F$58)+SUMIF($C$2:$C$58,Y9,$G$2:$G$58)</f>
        <v>-1631.13</v>
      </c>
      <c r="AB9" s="26">
        <f t="shared" si="0"/>
        <v>-331.13000000000011</v>
      </c>
      <c r="AD9" s="343" t="s">
        <v>53</v>
      </c>
      <c r="AE9" s="411">
        <f>S27+S56</f>
        <v>2400</v>
      </c>
      <c r="AF9" s="344"/>
    </row>
    <row r="10" spans="1:33">
      <c r="A10" s="284">
        <v>46113</v>
      </c>
      <c r="B10" s="289" t="s">
        <v>20</v>
      </c>
      <c r="C10" s="186" t="s">
        <v>20</v>
      </c>
      <c r="D10" s="187"/>
      <c r="E10" s="188">
        <v>61</v>
      </c>
      <c r="F10" s="187"/>
      <c r="G10" s="193"/>
      <c r="H10" s="188"/>
      <c r="I10" s="188"/>
      <c r="J10" s="188"/>
      <c r="K10" s="188"/>
      <c r="L10" s="188"/>
      <c r="M10" s="188"/>
      <c r="N10" s="188"/>
      <c r="O10" s="188"/>
      <c r="P10" s="326"/>
      <c r="Q10" s="188"/>
      <c r="R10" s="188"/>
      <c r="S10" s="188"/>
      <c r="T10" s="188"/>
      <c r="U10" s="188"/>
      <c r="V10" s="327"/>
      <c r="W10" s="194"/>
      <c r="Y10" s="18" t="s">
        <v>14</v>
      </c>
      <c r="Z10" s="23">
        <f>Summary!T27</f>
        <v>150</v>
      </c>
      <c r="AA10" s="23">
        <f>SUMIF($C$2:$C$58,Y10,$F$2:$F$58)+SUMIF($C$2:$C$58,Y10,$G$2:$G$58)</f>
        <v>-347.38</v>
      </c>
      <c r="AB10" s="26">
        <f t="shared" si="0"/>
        <v>-197.38</v>
      </c>
      <c r="AD10" s="18" t="s">
        <v>124</v>
      </c>
      <c r="AE10" s="411">
        <f>V28+V58</f>
        <v>0</v>
      </c>
      <c r="AF10" s="20"/>
    </row>
    <row r="11" spans="1:33" s="342" customFormat="1">
      <c r="A11" s="340">
        <v>46113</v>
      </c>
      <c r="B11" s="341" t="s">
        <v>170</v>
      </c>
      <c r="C11" s="186" t="s">
        <v>170</v>
      </c>
      <c r="D11" s="187"/>
      <c r="E11" s="188">
        <f>5000+5060</f>
        <v>10060</v>
      </c>
      <c r="F11" s="187"/>
      <c r="G11" s="193"/>
      <c r="H11" s="188"/>
      <c r="I11" s="188"/>
      <c r="J11" s="195"/>
      <c r="K11" s="188"/>
      <c r="L11" s="188"/>
      <c r="M11" s="188"/>
      <c r="N11" s="188"/>
      <c r="O11" s="188"/>
      <c r="P11" s="326"/>
      <c r="Q11" s="188"/>
      <c r="R11" s="188"/>
      <c r="S11" s="188"/>
      <c r="T11" s="188"/>
      <c r="U11" s="188"/>
      <c r="V11" s="327"/>
      <c r="W11" s="194"/>
      <c r="Y11" s="343" t="s">
        <v>15</v>
      </c>
      <c r="Z11" s="23">
        <f>Summary!T28</f>
        <v>200</v>
      </c>
      <c r="AA11" s="23">
        <f>SUMIF($C$2:$C$58,Y11,$F$2:$F$58)+SUMIF($C$2:$C$58,Y11,$G$2:$G$58)</f>
        <v>-293</v>
      </c>
      <c r="AB11" s="26">
        <f>Z11+AA11</f>
        <v>-93</v>
      </c>
      <c r="AD11" s="390" t="s">
        <v>29</v>
      </c>
      <c r="AE11" s="643">
        <f>SUM(AE6:AE10)</f>
        <v>4700</v>
      </c>
      <c r="AF11" s="344"/>
    </row>
    <row r="12" spans="1:33" s="342" customFormat="1">
      <c r="A12" s="340">
        <v>46113</v>
      </c>
      <c r="B12" s="341" t="s">
        <v>13</v>
      </c>
      <c r="C12" s="186" t="s">
        <v>13</v>
      </c>
      <c r="D12" s="187"/>
      <c r="E12" s="188"/>
      <c r="F12" s="187"/>
      <c r="G12" s="193">
        <f>-115.13-15-6-65</f>
        <v>-201.13</v>
      </c>
      <c r="H12" s="188"/>
      <c r="I12" s="188"/>
      <c r="J12" s="188"/>
      <c r="K12" s="188"/>
      <c r="L12" s="188"/>
      <c r="M12" s="188"/>
      <c r="N12" s="188"/>
      <c r="O12" s="188"/>
      <c r="P12" s="326"/>
      <c r="Q12" s="188"/>
      <c r="R12" s="188"/>
      <c r="S12" s="188"/>
      <c r="T12" s="188"/>
      <c r="U12" s="188"/>
      <c r="V12" s="327"/>
      <c r="W12" s="194"/>
      <c r="Y12" s="343" t="s">
        <v>16</v>
      </c>
      <c r="Z12" s="23">
        <f>Summary!T29</f>
        <v>200</v>
      </c>
      <c r="AA12" s="23">
        <f>SUMIF($C$2:$C$58,Y12,$F$2:$F$58)+SUMIF($C$2:$C$58,Y12,$G$2:$G$58)</f>
        <v>-496</v>
      </c>
      <c r="AB12" s="26">
        <f>Z12+AA12</f>
        <v>-296</v>
      </c>
      <c r="AD12" s="343"/>
      <c r="AE12" s="644"/>
      <c r="AF12" s="344"/>
    </row>
    <row r="13" spans="1:33" s="342" customFormat="1">
      <c r="A13" s="340">
        <v>46113</v>
      </c>
      <c r="B13" s="341" t="s">
        <v>144</v>
      </c>
      <c r="C13" s="186" t="s">
        <v>21</v>
      </c>
      <c r="D13" s="187"/>
      <c r="E13" s="188"/>
      <c r="F13" s="187">
        <v>-50</v>
      </c>
      <c r="G13" s="193"/>
      <c r="H13" s="188"/>
      <c r="I13" s="188"/>
      <c r="J13" s="188"/>
      <c r="K13" s="188"/>
      <c r="L13" s="188"/>
      <c r="M13" s="188"/>
      <c r="N13" s="188"/>
      <c r="O13" s="188"/>
      <c r="P13" s="326"/>
      <c r="Q13" s="188"/>
      <c r="R13" s="188"/>
      <c r="S13" s="188"/>
      <c r="T13" s="188"/>
      <c r="U13" s="188"/>
      <c r="V13" s="327"/>
      <c r="W13" s="194"/>
      <c r="Y13" s="343" t="s">
        <v>17</v>
      </c>
      <c r="Z13" s="23">
        <f>Summary!T30</f>
        <v>1000</v>
      </c>
      <c r="AA13" s="23">
        <f>SUMIF($C$2:$C$58,Y13,$F$2:$F$58)+SUMIF($C$2:$C$58,Y13,$G$2:$G$58)</f>
        <v>-630</v>
      </c>
      <c r="AB13" s="26">
        <f t="shared" si="0"/>
        <v>370</v>
      </c>
      <c r="AD13" s="390" t="s">
        <v>132</v>
      </c>
      <c r="AE13" s="645"/>
      <c r="AF13" s="344"/>
    </row>
    <row r="14" spans="1:33" s="342" customFormat="1">
      <c r="A14" s="340">
        <v>46113</v>
      </c>
      <c r="B14" s="341" t="s">
        <v>143</v>
      </c>
      <c r="C14" s="186" t="s">
        <v>21</v>
      </c>
      <c r="D14" s="187"/>
      <c r="E14" s="188"/>
      <c r="F14" s="187">
        <v>-309.27</v>
      </c>
      <c r="G14" s="193"/>
      <c r="H14" s="188"/>
      <c r="I14" s="188"/>
      <c r="J14" s="188"/>
      <c r="K14" s="188"/>
      <c r="L14" s="188"/>
      <c r="M14" s="188"/>
      <c r="N14" s="188"/>
      <c r="O14" s="188"/>
      <c r="P14" s="326"/>
      <c r="Q14" s="188"/>
      <c r="R14" s="188"/>
      <c r="S14" s="188"/>
      <c r="T14" s="188"/>
      <c r="U14" s="188"/>
      <c r="V14" s="327"/>
      <c r="W14" s="194"/>
      <c r="Y14" s="343" t="s">
        <v>18</v>
      </c>
      <c r="Z14" s="23">
        <f>Summary!T31</f>
        <v>100</v>
      </c>
      <c r="AA14" s="23">
        <f>SUMIF($C$2:$C$58,Y14,$F$2:$F$58)+SUMIF($C$2:$C$58,Y14,$G$2:$G$58)</f>
        <v>-100</v>
      </c>
      <c r="AB14" s="26">
        <f t="shared" si="0"/>
        <v>0</v>
      </c>
      <c r="AD14" s="343" t="s">
        <v>49</v>
      </c>
      <c r="AE14" s="411">
        <f>P59</f>
        <v>0</v>
      </c>
      <c r="AF14" s="344"/>
    </row>
    <row r="15" spans="1:33" s="342" customFormat="1">
      <c r="A15" s="340">
        <v>46113</v>
      </c>
      <c r="B15" s="341" t="s">
        <v>160</v>
      </c>
      <c r="C15" s="186" t="s">
        <v>21</v>
      </c>
      <c r="D15" s="187"/>
      <c r="E15" s="188"/>
      <c r="F15" s="187">
        <v>-50</v>
      </c>
      <c r="G15" s="193"/>
      <c r="H15" s="188"/>
      <c r="I15" s="188"/>
      <c r="J15" s="188"/>
      <c r="K15" s="188"/>
      <c r="L15" s="188"/>
      <c r="M15" s="188"/>
      <c r="N15" s="188"/>
      <c r="O15" s="188"/>
      <c r="P15" s="326"/>
      <c r="Q15" s="188"/>
      <c r="R15" s="188"/>
      <c r="S15" s="188"/>
      <c r="T15" s="188"/>
      <c r="U15" s="188"/>
      <c r="V15" s="327"/>
      <c r="W15" s="194"/>
      <c r="Y15" s="343" t="s">
        <v>19</v>
      </c>
      <c r="Z15" s="23">
        <f>Summary!T32</f>
        <v>0</v>
      </c>
      <c r="AA15" s="23">
        <f>SUMIF($C$2:$C$58,Y15,$F$2:$F$58)+SUMIF($C$2:$C$58,Y15,$G$2:$G$58)</f>
        <v>0</v>
      </c>
      <c r="AB15" s="26">
        <f t="shared" si="0"/>
        <v>0</v>
      </c>
      <c r="AD15" s="343" t="s">
        <v>111</v>
      </c>
      <c r="AE15" s="411">
        <f>Q59</f>
        <v>0</v>
      </c>
      <c r="AF15" s="344"/>
    </row>
    <row r="16" spans="1:33" s="342" customFormat="1">
      <c r="A16" s="340">
        <v>46113</v>
      </c>
      <c r="B16" s="341" t="s">
        <v>14</v>
      </c>
      <c r="C16" s="186" t="s">
        <v>14</v>
      </c>
      <c r="D16" s="187"/>
      <c r="E16" s="188"/>
      <c r="F16" s="187">
        <f>-7.19-12.16-17.53-24.5-70-150-26</f>
        <v>-307.38</v>
      </c>
      <c r="G16" s="193"/>
      <c r="H16" s="188"/>
      <c r="I16" s="188"/>
      <c r="J16" s="188"/>
      <c r="K16" s="188"/>
      <c r="L16" s="188"/>
      <c r="M16" s="188"/>
      <c r="N16" s="188"/>
      <c r="O16" s="188"/>
      <c r="P16" s="326"/>
      <c r="Q16" s="188"/>
      <c r="R16" s="188"/>
      <c r="S16" s="188"/>
      <c r="T16" s="188"/>
      <c r="U16" s="188"/>
      <c r="V16" s="327"/>
      <c r="W16" s="194"/>
      <c r="Y16" s="343" t="s">
        <v>20</v>
      </c>
      <c r="Z16" s="23">
        <f>Summary!T33</f>
        <v>500</v>
      </c>
      <c r="AA16" s="23">
        <f>SUMIF($C$2:$C$58,Y16,$F$2:$F$58)+SUMIF($C$2:$C$58,Y16,$G$2:$G$58)+E17</f>
        <v>-906</v>
      </c>
      <c r="AB16" s="26">
        <f t="shared" si="0"/>
        <v>-406</v>
      </c>
      <c r="AD16" s="343" t="s">
        <v>131</v>
      </c>
      <c r="AE16" s="411">
        <v>0</v>
      </c>
      <c r="AF16" s="344"/>
    </row>
    <row r="17" spans="1:32" s="342" customFormat="1">
      <c r="A17" s="340">
        <v>46113</v>
      </c>
      <c r="B17" s="341" t="s">
        <v>20</v>
      </c>
      <c r="C17" s="186" t="s">
        <v>20</v>
      </c>
      <c r="D17" s="187"/>
      <c r="E17" s="188">
        <v>-265</v>
      </c>
      <c r="F17" s="187">
        <f>-137-42-250-160-52</f>
        <v>-641</v>
      </c>
      <c r="G17" s="193"/>
      <c r="H17" s="188"/>
      <c r="I17" s="188"/>
      <c r="J17" s="188"/>
      <c r="K17" s="188"/>
      <c r="L17" s="188"/>
      <c r="M17" s="188"/>
      <c r="N17" s="188"/>
      <c r="O17" s="188"/>
      <c r="P17" s="326"/>
      <c r="Q17" s="188"/>
      <c r="R17" s="188"/>
      <c r="S17" s="188"/>
      <c r="T17" s="188"/>
      <c r="U17" s="188"/>
      <c r="V17" s="327"/>
      <c r="W17" s="194"/>
      <c r="Y17" s="343" t="s">
        <v>21</v>
      </c>
      <c r="Z17" s="23">
        <f>Summary!T34</f>
        <v>800</v>
      </c>
      <c r="AA17" s="23">
        <f>SUMIF($C$2:$C$58,Y17,$F$2:$F$58)+SUMIF($C$2:$C$58,Y17,$G$2:$G$58)+E22</f>
        <v>-910.27</v>
      </c>
      <c r="AB17" s="26">
        <f t="shared" si="0"/>
        <v>-110.26999999999998</v>
      </c>
      <c r="AD17" s="343" t="s">
        <v>53</v>
      </c>
      <c r="AE17" s="411">
        <f>R59</f>
        <v>2058</v>
      </c>
      <c r="AF17" s="344"/>
    </row>
    <row r="18" spans="1:32" s="342" customFormat="1">
      <c r="A18" s="340">
        <v>46113</v>
      </c>
      <c r="B18" s="369" t="s">
        <v>27</v>
      </c>
      <c r="C18" s="186" t="s">
        <v>27</v>
      </c>
      <c r="D18" s="187"/>
      <c r="E18" s="188"/>
      <c r="F18" s="187"/>
      <c r="G18" s="193"/>
      <c r="H18" s="188">
        <v>-9906</v>
      </c>
      <c r="I18" s="188"/>
      <c r="J18" s="188"/>
      <c r="K18" s="188"/>
      <c r="L18" s="188"/>
      <c r="M18" s="188"/>
      <c r="N18" s="188"/>
      <c r="O18" s="188"/>
      <c r="P18" s="326"/>
      <c r="Q18" s="188"/>
      <c r="R18" s="188"/>
      <c r="S18" s="188"/>
      <c r="T18" s="188"/>
      <c r="U18" s="188"/>
      <c r="V18" s="327"/>
      <c r="W18" s="194"/>
      <c r="Y18" s="343" t="s">
        <v>22</v>
      </c>
      <c r="Z18" s="23">
        <f>Summary!T35</f>
        <v>4100</v>
      </c>
      <c r="AA18" s="23">
        <f>SUMIF($C$2:$C$58,Y18,$F$2:$F$58)+SUMIF($C$2:$C$58,Y18,$G$2:$G$58)+E4+E7+E8</f>
        <v>-4618</v>
      </c>
      <c r="AB18" s="26">
        <f t="shared" si="0"/>
        <v>-518</v>
      </c>
      <c r="AD18" s="343" t="s">
        <v>124</v>
      </c>
      <c r="AE18" s="411">
        <f>V59+T59</f>
        <v>14333</v>
      </c>
      <c r="AF18" s="344"/>
    </row>
    <row r="19" spans="1:32" s="342" customFormat="1">
      <c r="A19" s="340">
        <v>46115</v>
      </c>
      <c r="B19" s="369" t="s">
        <v>26</v>
      </c>
      <c r="C19" s="186" t="s">
        <v>26</v>
      </c>
      <c r="D19" s="187"/>
      <c r="E19" s="188"/>
      <c r="F19" s="187">
        <f>-150-100-40</f>
        <v>-290</v>
      </c>
      <c r="G19" s="193"/>
      <c r="H19" s="188"/>
      <c r="I19" s="188"/>
      <c r="J19" s="188"/>
      <c r="K19" s="188"/>
      <c r="L19" s="188"/>
      <c r="M19" s="188"/>
      <c r="N19" s="188"/>
      <c r="O19" s="188"/>
      <c r="P19" s="326"/>
      <c r="Q19" s="188"/>
      <c r="R19" s="188"/>
      <c r="S19" s="188"/>
      <c r="T19" s="188"/>
      <c r="U19" s="188"/>
      <c r="V19" s="327"/>
      <c r="W19" s="194"/>
      <c r="Y19" s="343" t="s">
        <v>23</v>
      </c>
      <c r="Z19" s="23">
        <f>Summary!T36</f>
        <v>0</v>
      </c>
      <c r="AA19" s="23">
        <f>SUMIF($C$2:$C$58,Y19,$F$2:$F$58)+SUMIF($C$2:$C$58,Y19,$G$2:$G$58)</f>
        <v>-1508</v>
      </c>
      <c r="AB19" s="26">
        <f t="shared" si="0"/>
        <v>-1508</v>
      </c>
      <c r="AD19" s="343" t="s">
        <v>133</v>
      </c>
      <c r="AE19" s="646">
        <f>SUM(W59:W59)</f>
        <v>160.89999999999998</v>
      </c>
      <c r="AF19" s="344"/>
    </row>
    <row r="20" spans="1:32" s="342" customFormat="1">
      <c r="A20" s="340">
        <v>46116</v>
      </c>
      <c r="B20" s="369" t="s">
        <v>13</v>
      </c>
      <c r="C20" s="186" t="s">
        <v>13</v>
      </c>
      <c r="D20" s="187"/>
      <c r="E20" s="188"/>
      <c r="F20" s="187">
        <f>-50-30-10</f>
        <v>-90</v>
      </c>
      <c r="G20" s="193">
        <f>-128-150-14-60-20-15-25-36-140-19-5-19-220</f>
        <v>-851</v>
      </c>
      <c r="H20" s="188"/>
      <c r="I20" s="188"/>
      <c r="J20" s="188"/>
      <c r="K20" s="188"/>
      <c r="L20" s="188"/>
      <c r="M20" s="188"/>
      <c r="N20" s="188"/>
      <c r="O20" s="188"/>
      <c r="P20" s="326"/>
      <c r="Q20" s="188"/>
      <c r="R20" s="188"/>
      <c r="S20" s="188"/>
      <c r="T20" s="188"/>
      <c r="U20" s="188"/>
      <c r="V20" s="327"/>
      <c r="W20" s="194"/>
      <c r="Y20" s="343" t="s">
        <v>24</v>
      </c>
      <c r="Z20" s="23">
        <f>Summary!T37</f>
        <v>500</v>
      </c>
      <c r="AA20" s="23">
        <f>SUMIF($C$2:$C$58,Y20,$F$2:$F$58)+SUMIF($C$2:$C$58,Y20,$G$2:$G$58)+E6</f>
        <v>-500</v>
      </c>
      <c r="AB20" s="26">
        <f t="shared" si="0"/>
        <v>0</v>
      </c>
      <c r="AD20" s="390" t="s">
        <v>29</v>
      </c>
      <c r="AE20" s="643">
        <f>SUM(AE14:AE19)</f>
        <v>16551.900000000001</v>
      </c>
      <c r="AF20" s="344"/>
    </row>
    <row r="21" spans="1:32" s="342" customFormat="1">
      <c r="A21" s="340">
        <v>46116</v>
      </c>
      <c r="B21" s="341" t="s">
        <v>183</v>
      </c>
      <c r="C21" s="186" t="s">
        <v>183</v>
      </c>
      <c r="D21" s="187"/>
      <c r="E21" s="188">
        <v>3491</v>
      </c>
      <c r="F21" s="187">
        <v>-1984</v>
      </c>
      <c r="G21" s="193">
        <v>-500</v>
      </c>
      <c r="H21" s="188"/>
      <c r="I21" s="188"/>
      <c r="J21" s="188"/>
      <c r="K21" s="188"/>
      <c r="L21" s="188"/>
      <c r="M21" s="188"/>
      <c r="N21" s="188"/>
      <c r="O21" s="188"/>
      <c r="P21" s="326"/>
      <c r="Q21" s="188"/>
      <c r="R21" s="188"/>
      <c r="S21" s="188"/>
      <c r="T21" s="188"/>
      <c r="U21" s="188"/>
      <c r="V21" s="327"/>
      <c r="W21" s="194"/>
      <c r="Y21" s="343" t="s">
        <v>25</v>
      </c>
      <c r="Z21" s="23">
        <f>Summary!T38</f>
        <v>250</v>
      </c>
      <c r="AA21" s="23">
        <f>SUMIF($C$2:$C$58,Y21,$F$2:$F$58)+SUMIF($C$2:$C$58,Y21,$G$2:$G$58)+E25</f>
        <v>-830</v>
      </c>
      <c r="AB21" s="26">
        <f t="shared" si="0"/>
        <v>-580</v>
      </c>
      <c r="AD21" s="370"/>
      <c r="AE21" s="371"/>
      <c r="AF21" s="372"/>
    </row>
    <row r="22" spans="1:32" s="342" customFormat="1">
      <c r="A22" s="340">
        <v>46118</v>
      </c>
      <c r="B22" s="341" t="s">
        <v>146</v>
      </c>
      <c r="C22" s="186" t="s">
        <v>21</v>
      </c>
      <c r="D22" s="187"/>
      <c r="E22" s="188">
        <v>-50</v>
      </c>
      <c r="F22" s="187"/>
      <c r="G22" s="193">
        <v>-93</v>
      </c>
      <c r="H22" s="188"/>
      <c r="I22" s="188"/>
      <c r="J22" s="188"/>
      <c r="K22" s="188"/>
      <c r="L22" s="188"/>
      <c r="M22" s="188"/>
      <c r="N22" s="188"/>
      <c r="O22" s="188"/>
      <c r="P22" s="326"/>
      <c r="Q22" s="188"/>
      <c r="R22" s="188"/>
      <c r="S22" s="188"/>
      <c r="T22" s="188"/>
      <c r="U22" s="188"/>
      <c r="V22" s="327"/>
      <c r="W22" s="194"/>
      <c r="Y22" s="343" t="s">
        <v>26</v>
      </c>
      <c r="Z22" s="23">
        <f>Summary!T39</f>
        <v>400</v>
      </c>
      <c r="AA22" s="23">
        <f>SUMIF($C$2:$C$58,Y22,$F$2:$F$58)+SUMIF($C$2:$C$58,Y22,$G$2:$G$58)+E49</f>
        <v>-290</v>
      </c>
      <c r="AB22" s="26">
        <f>Z22+AA22</f>
        <v>110</v>
      </c>
      <c r="AD22" s="370"/>
      <c r="AE22" s="371"/>
      <c r="AF22" s="372"/>
    </row>
    <row r="23" spans="1:32" s="342" customFormat="1">
      <c r="A23" s="340">
        <v>46118</v>
      </c>
      <c r="B23" s="341" t="s">
        <v>15</v>
      </c>
      <c r="C23" s="186" t="s">
        <v>15</v>
      </c>
      <c r="D23" s="187"/>
      <c r="E23" s="188"/>
      <c r="F23" s="187">
        <f>-100-100</f>
        <v>-200</v>
      </c>
      <c r="G23" s="193"/>
      <c r="H23" s="188"/>
      <c r="I23" s="188"/>
      <c r="J23" s="188"/>
      <c r="K23" s="188"/>
      <c r="L23" s="188"/>
      <c r="M23" s="188"/>
      <c r="N23" s="188"/>
      <c r="O23" s="188"/>
      <c r="P23" s="326"/>
      <c r="Q23" s="188"/>
      <c r="R23" s="188"/>
      <c r="S23" s="188"/>
      <c r="T23" s="188"/>
      <c r="U23" s="188"/>
      <c r="V23" s="327"/>
      <c r="W23" s="193"/>
      <c r="Y23" s="343" t="s">
        <v>27</v>
      </c>
      <c r="Z23" s="23">
        <f>Summary!T40</f>
        <v>10000</v>
      </c>
      <c r="AA23" s="23">
        <f>SUMIF($C$2:$C$58,Y23,$F$2:$F$58)+SUMIF($C$2:$C$58,Y23,$G$2:$G$58)+H18</f>
        <v>-9906</v>
      </c>
      <c r="AB23" s="26">
        <f>Z23+AA23</f>
        <v>94</v>
      </c>
      <c r="AD23" s="370"/>
      <c r="AE23" s="371"/>
      <c r="AF23" s="372"/>
    </row>
    <row r="24" spans="1:32" s="342" customFormat="1">
      <c r="A24" s="340">
        <v>46118</v>
      </c>
      <c r="B24" s="341" t="s">
        <v>18</v>
      </c>
      <c r="C24" s="186" t="s">
        <v>18</v>
      </c>
      <c r="D24" s="187"/>
      <c r="E24" s="188"/>
      <c r="F24" s="187">
        <v>-100</v>
      </c>
      <c r="G24" s="193"/>
      <c r="H24" s="188"/>
      <c r="I24" s="188"/>
      <c r="J24" s="188"/>
      <c r="K24" s="188"/>
      <c r="L24" s="188"/>
      <c r="M24" s="188"/>
      <c r="N24" s="188"/>
      <c r="O24" s="188"/>
      <c r="P24" s="326"/>
      <c r="Q24" s="188"/>
      <c r="R24" s="188"/>
      <c r="S24" s="188"/>
      <c r="T24" s="188"/>
      <c r="U24" s="188"/>
      <c r="V24" s="327"/>
      <c r="W24" s="193"/>
      <c r="Y24" s="343" t="s">
        <v>28</v>
      </c>
      <c r="Z24" s="23">
        <f>Summary!T41</f>
        <v>900</v>
      </c>
      <c r="AA24" s="23">
        <f>SUMIF($C$2:$C$58,Y24,$F$2:$F$58)+SUMIF($C$2:$C$58,Y24,$G$2:$G$58)+E9</f>
        <v>-880</v>
      </c>
      <c r="AB24" s="26">
        <f>Z24+AA24</f>
        <v>20</v>
      </c>
      <c r="AD24" s="370"/>
      <c r="AE24" s="371"/>
      <c r="AF24" s="372"/>
    </row>
    <row r="25" spans="1:32" s="342" customFormat="1">
      <c r="A25" s="340">
        <v>46118</v>
      </c>
      <c r="B25" s="341" t="s">
        <v>147</v>
      </c>
      <c r="C25" s="186" t="s">
        <v>8</v>
      </c>
      <c r="D25" s="187"/>
      <c r="E25" s="188"/>
      <c r="F25" s="187">
        <v>-44</v>
      </c>
      <c r="G25" s="193"/>
      <c r="H25" s="188"/>
      <c r="I25" s="188"/>
      <c r="J25" s="188"/>
      <c r="K25" s="188"/>
      <c r="L25" s="188"/>
      <c r="M25" s="188"/>
      <c r="N25" s="188"/>
      <c r="O25" s="188"/>
      <c r="P25" s="326"/>
      <c r="Q25" s="188"/>
      <c r="R25" s="188"/>
      <c r="S25" s="188"/>
      <c r="T25" s="188"/>
      <c r="U25" s="188"/>
      <c r="V25" s="327"/>
      <c r="W25" s="193"/>
      <c r="Y25" s="343"/>
      <c r="Z25" s="23"/>
      <c r="AA25" s="23"/>
      <c r="AB25" s="26"/>
      <c r="AD25" s="370"/>
      <c r="AE25" s="371"/>
      <c r="AF25" s="372"/>
    </row>
    <row r="26" spans="1:32" s="342" customFormat="1">
      <c r="A26" s="340">
        <v>46120</v>
      </c>
      <c r="B26" s="341" t="s">
        <v>11</v>
      </c>
      <c r="C26" s="186" t="s">
        <v>11</v>
      </c>
      <c r="D26" s="187"/>
      <c r="E26" s="188"/>
      <c r="F26" s="187">
        <v>-80</v>
      </c>
      <c r="G26" s="193">
        <v>-115</v>
      </c>
      <c r="H26" s="188"/>
      <c r="I26" s="188"/>
      <c r="J26" s="188"/>
      <c r="K26" s="188"/>
      <c r="L26" s="188"/>
      <c r="M26" s="188"/>
      <c r="N26" s="188"/>
      <c r="O26" s="188"/>
      <c r="P26" s="326"/>
      <c r="Q26" s="188"/>
      <c r="R26" s="188"/>
      <c r="S26" s="188"/>
      <c r="T26" s="188"/>
      <c r="U26" s="188"/>
      <c r="V26" s="327"/>
      <c r="W26" s="193"/>
      <c r="Y26" s="343"/>
      <c r="Z26" s="23"/>
      <c r="AA26" s="23"/>
      <c r="AB26" s="26"/>
      <c r="AD26" s="370"/>
      <c r="AE26" s="371"/>
      <c r="AF26" s="372"/>
    </row>
    <row r="27" spans="1:32" s="342" customFormat="1">
      <c r="A27" s="340">
        <v>46120</v>
      </c>
      <c r="B27" s="341" t="s">
        <v>4</v>
      </c>
      <c r="C27" s="186" t="s">
        <v>4</v>
      </c>
      <c r="D27" s="187"/>
      <c r="E27" s="188">
        <v>-1400</v>
      </c>
      <c r="F27" s="187"/>
      <c r="G27" s="193"/>
      <c r="H27" s="188"/>
      <c r="I27" s="188"/>
      <c r="J27" s="188"/>
      <c r="K27" s="188"/>
      <c r="L27" s="188"/>
      <c r="M27" s="188"/>
      <c r="N27" s="188"/>
      <c r="O27" s="188"/>
      <c r="P27" s="326"/>
      <c r="Q27" s="188"/>
      <c r="R27" s="188"/>
      <c r="S27" s="188">
        <v>1400</v>
      </c>
      <c r="T27" s="188"/>
      <c r="U27" s="188"/>
      <c r="V27" s="327"/>
      <c r="W27" s="193"/>
      <c r="Y27" s="343"/>
      <c r="Z27" s="23"/>
      <c r="AA27" s="23"/>
      <c r="AB27" s="26"/>
      <c r="AD27" s="370"/>
      <c r="AE27" s="371"/>
      <c r="AF27" s="372"/>
    </row>
    <row r="28" spans="1:32" s="342" customFormat="1">
      <c r="A28" s="340">
        <v>46122</v>
      </c>
      <c r="B28" s="341" t="s">
        <v>170</v>
      </c>
      <c r="C28" s="186" t="s">
        <v>170</v>
      </c>
      <c r="D28" s="187"/>
      <c r="E28" s="188">
        <v>4987</v>
      </c>
      <c r="F28" s="187"/>
      <c r="G28" s="193"/>
      <c r="H28" s="188"/>
      <c r="I28" s="188"/>
      <c r="J28" s="188"/>
      <c r="K28" s="188"/>
      <c r="L28" s="188"/>
      <c r="M28" s="188"/>
      <c r="N28" s="188"/>
      <c r="O28" s="188"/>
      <c r="P28" s="326"/>
      <c r="Q28" s="188"/>
      <c r="R28" s="188"/>
      <c r="S28" s="188"/>
      <c r="T28" s="188"/>
      <c r="U28" s="188"/>
      <c r="V28" s="327"/>
      <c r="W28" s="193"/>
      <c r="Y28" s="343"/>
      <c r="Z28" s="23"/>
      <c r="AA28" s="23"/>
      <c r="AB28" s="26"/>
      <c r="AD28" s="370"/>
      <c r="AE28" s="371"/>
      <c r="AF28" s="372"/>
    </row>
    <row r="29" spans="1:32" s="342" customFormat="1">
      <c r="A29" s="340">
        <v>46122</v>
      </c>
      <c r="B29" s="341" t="s">
        <v>11</v>
      </c>
      <c r="C29" s="186" t="s">
        <v>11</v>
      </c>
      <c r="D29" s="187"/>
      <c r="E29" s="188"/>
      <c r="F29" s="187"/>
      <c r="G29" s="193">
        <f>-174-170</f>
        <v>-344</v>
      </c>
      <c r="H29" s="188"/>
      <c r="I29" s="188"/>
      <c r="J29" s="188"/>
      <c r="K29" s="188"/>
      <c r="L29" s="188"/>
      <c r="M29" s="188"/>
      <c r="N29" s="188"/>
      <c r="O29" s="188"/>
      <c r="P29" s="326"/>
      <c r="Q29" s="188"/>
      <c r="R29" s="188"/>
      <c r="S29" s="188"/>
      <c r="T29" s="188"/>
      <c r="U29" s="188"/>
      <c r="V29" s="327"/>
      <c r="W29" s="193"/>
      <c r="Y29" s="343"/>
      <c r="Z29" s="23"/>
      <c r="AA29" s="23"/>
      <c r="AB29" s="26"/>
      <c r="AD29" s="370"/>
      <c r="AE29" s="371"/>
      <c r="AF29" s="372"/>
    </row>
    <row r="30" spans="1:32" s="342" customFormat="1">
      <c r="A30" s="340">
        <v>46122</v>
      </c>
      <c r="B30" s="369" t="s">
        <v>165</v>
      </c>
      <c r="C30" s="186" t="s">
        <v>21</v>
      </c>
      <c r="D30" s="187"/>
      <c r="E30" s="188"/>
      <c r="F30" s="187">
        <f>-50-3</f>
        <v>-53</v>
      </c>
      <c r="G30" s="193"/>
      <c r="H30" s="188"/>
      <c r="I30" s="188"/>
      <c r="J30" s="188"/>
      <c r="K30" s="188"/>
      <c r="L30" s="188"/>
      <c r="M30" s="188"/>
      <c r="N30" s="188"/>
      <c r="O30" s="188"/>
      <c r="P30" s="326"/>
      <c r="Q30" s="188"/>
      <c r="R30" s="188"/>
      <c r="S30" s="188"/>
      <c r="T30" s="188"/>
      <c r="U30" s="188"/>
      <c r="V30" s="327"/>
      <c r="W30" s="194"/>
      <c r="Y30" s="343"/>
      <c r="Z30" s="23"/>
      <c r="AA30" s="23"/>
      <c r="AB30" s="26"/>
      <c r="AD30" s="370"/>
      <c r="AE30" s="371"/>
      <c r="AF30" s="372"/>
    </row>
    <row r="31" spans="1:32" s="342" customFormat="1">
      <c r="A31" s="340">
        <v>46122</v>
      </c>
      <c r="B31" s="369" t="s">
        <v>17</v>
      </c>
      <c r="C31" s="186" t="s">
        <v>17</v>
      </c>
      <c r="D31" s="187"/>
      <c r="E31" s="188"/>
      <c r="F31" s="187">
        <f>-300-100</f>
        <v>-400</v>
      </c>
      <c r="G31" s="193">
        <f>-100-130</f>
        <v>-230</v>
      </c>
      <c r="H31" s="188"/>
      <c r="I31" s="188"/>
      <c r="J31" s="188"/>
      <c r="K31" s="188"/>
      <c r="L31" s="188"/>
      <c r="M31" s="188"/>
      <c r="N31" s="188"/>
      <c r="O31" s="188"/>
      <c r="P31" s="326"/>
      <c r="Q31" s="188"/>
      <c r="R31" s="188"/>
      <c r="S31" s="188"/>
      <c r="T31" s="188"/>
      <c r="U31" s="188"/>
      <c r="V31" s="327"/>
      <c r="W31" s="194"/>
      <c r="Y31" s="343"/>
      <c r="Z31" s="23"/>
      <c r="AA31" s="23"/>
      <c r="AB31" s="26"/>
      <c r="AD31" s="370"/>
      <c r="AE31" s="371"/>
      <c r="AF31" s="372"/>
    </row>
    <row r="32" spans="1:32" s="342" customFormat="1">
      <c r="A32" s="340">
        <v>46124</v>
      </c>
      <c r="B32" s="369" t="s">
        <v>23</v>
      </c>
      <c r="C32" s="186" t="s">
        <v>23</v>
      </c>
      <c r="D32" s="187"/>
      <c r="E32" s="188"/>
      <c r="F32" s="187">
        <f>-500-320-71-32</f>
        <v>-923</v>
      </c>
      <c r="G32" s="193">
        <f>-200+13+50</f>
        <v>-137</v>
      </c>
      <c r="H32" s="188"/>
      <c r="I32" s="188"/>
      <c r="J32" s="188"/>
      <c r="K32" s="188"/>
      <c r="L32" s="188"/>
      <c r="M32" s="188"/>
      <c r="N32" s="188"/>
      <c r="O32" s="188"/>
      <c r="P32" s="326"/>
      <c r="Q32" s="188"/>
      <c r="R32" s="188"/>
      <c r="S32" s="188"/>
      <c r="T32" s="188"/>
      <c r="U32" s="188"/>
      <c r="V32" s="327"/>
      <c r="W32" s="194"/>
      <c r="Y32" s="343"/>
      <c r="Z32" s="23"/>
      <c r="AA32" s="23"/>
      <c r="AB32" s="26"/>
      <c r="AD32" s="370"/>
      <c r="AE32" s="371"/>
      <c r="AF32" s="372"/>
    </row>
    <row r="33" spans="1:32" s="342" customFormat="1">
      <c r="A33" s="340">
        <v>46125</v>
      </c>
      <c r="B33" s="369" t="s">
        <v>184</v>
      </c>
      <c r="C33" s="186" t="s">
        <v>8</v>
      </c>
      <c r="D33" s="187"/>
      <c r="E33" s="188"/>
      <c r="F33" s="187">
        <v>-35</v>
      </c>
      <c r="G33" s="193"/>
      <c r="H33" s="188"/>
      <c r="I33" s="188"/>
      <c r="J33" s="188"/>
      <c r="K33" s="188"/>
      <c r="L33" s="188"/>
      <c r="M33" s="188"/>
      <c r="N33" s="188"/>
      <c r="O33" s="188"/>
      <c r="P33" s="326"/>
      <c r="Q33" s="188"/>
      <c r="R33" s="188"/>
      <c r="S33" s="188"/>
      <c r="T33" s="188"/>
      <c r="U33" s="188"/>
      <c r="V33" s="327"/>
      <c r="W33" s="194"/>
      <c r="Y33" s="343"/>
      <c r="Z33" s="23"/>
      <c r="AA33" s="23"/>
      <c r="AB33" s="26"/>
      <c r="AD33" s="370"/>
      <c r="AE33" s="371"/>
      <c r="AF33" s="372"/>
    </row>
    <row r="34" spans="1:32" s="342" customFormat="1">
      <c r="A34" s="340">
        <v>46127</v>
      </c>
      <c r="B34" s="369" t="s">
        <v>4</v>
      </c>
      <c r="C34" s="186" t="s">
        <v>4</v>
      </c>
      <c r="D34" s="187"/>
      <c r="E34" s="188">
        <v>-300</v>
      </c>
      <c r="F34" s="187"/>
      <c r="G34" s="193"/>
      <c r="H34" s="188"/>
      <c r="I34" s="188"/>
      <c r="J34" s="188"/>
      <c r="K34" s="188"/>
      <c r="L34" s="188"/>
      <c r="M34" s="188"/>
      <c r="N34" s="188"/>
      <c r="O34" s="188"/>
      <c r="P34" s="326"/>
      <c r="Q34" s="188"/>
      <c r="R34" s="188">
        <v>300</v>
      </c>
      <c r="S34" s="188"/>
      <c r="T34" s="188"/>
      <c r="U34" s="188"/>
      <c r="V34" s="327"/>
      <c r="W34" s="194"/>
      <c r="Y34" s="343"/>
      <c r="Z34" s="23"/>
      <c r="AA34" s="23"/>
      <c r="AB34" s="26"/>
      <c r="AD34" s="370"/>
      <c r="AE34" s="371"/>
      <c r="AF34" s="372"/>
    </row>
    <row r="35" spans="1:32" s="342" customFormat="1">
      <c r="A35" s="340">
        <v>46127</v>
      </c>
      <c r="B35" s="369" t="s">
        <v>185</v>
      </c>
      <c r="C35" s="186" t="s">
        <v>12</v>
      </c>
      <c r="D35" s="187"/>
      <c r="E35" s="188"/>
      <c r="F35" s="187">
        <v>-65</v>
      </c>
      <c r="G35" s="193"/>
      <c r="H35" s="188"/>
      <c r="I35" s="188"/>
      <c r="J35" s="188"/>
      <c r="K35" s="188"/>
      <c r="L35" s="188"/>
      <c r="M35" s="188"/>
      <c r="N35" s="188"/>
      <c r="O35" s="188"/>
      <c r="P35" s="326"/>
      <c r="Q35" s="188"/>
      <c r="R35" s="188"/>
      <c r="S35" s="188"/>
      <c r="T35" s="188"/>
      <c r="U35" s="188"/>
      <c r="V35" s="327"/>
      <c r="W35" s="194"/>
      <c r="Y35" s="343"/>
      <c r="Z35" s="23"/>
      <c r="AA35" s="23"/>
      <c r="AB35" s="26"/>
      <c r="AD35" s="370"/>
      <c r="AE35" s="371"/>
      <c r="AF35" s="372"/>
    </row>
    <row r="36" spans="1:32" s="342" customFormat="1">
      <c r="A36" s="340">
        <v>46127</v>
      </c>
      <c r="B36" s="369" t="s">
        <v>143</v>
      </c>
      <c r="C36" s="186" t="s">
        <v>21</v>
      </c>
      <c r="D36" s="187"/>
      <c r="E36" s="188"/>
      <c r="F36" s="187">
        <v>-305</v>
      </c>
      <c r="G36" s="193"/>
      <c r="H36" s="188"/>
      <c r="I36" s="188"/>
      <c r="J36" s="188"/>
      <c r="K36" s="188"/>
      <c r="L36" s="188"/>
      <c r="M36" s="188"/>
      <c r="N36" s="188"/>
      <c r="O36" s="188"/>
      <c r="P36" s="326"/>
      <c r="Q36" s="188"/>
      <c r="R36" s="188"/>
      <c r="S36" s="188"/>
      <c r="T36" s="188"/>
      <c r="U36" s="188"/>
      <c r="V36" s="327"/>
      <c r="W36" s="194"/>
      <c r="Y36" s="343"/>
      <c r="Z36" s="23"/>
      <c r="AA36" s="23"/>
      <c r="AB36" s="26"/>
      <c r="AD36" s="370"/>
      <c r="AE36" s="371"/>
      <c r="AF36" s="372"/>
    </row>
    <row r="37" spans="1:32" s="342" customFormat="1">
      <c r="A37" s="340">
        <v>46127</v>
      </c>
      <c r="B37" s="369" t="s">
        <v>9</v>
      </c>
      <c r="C37" s="186" t="s">
        <v>9</v>
      </c>
      <c r="D37" s="187"/>
      <c r="E37" s="188"/>
      <c r="F37" s="187">
        <v>-342</v>
      </c>
      <c r="G37" s="193"/>
      <c r="H37" s="188"/>
      <c r="I37" s="188"/>
      <c r="J37" s="188"/>
      <c r="K37" s="188"/>
      <c r="L37" s="188"/>
      <c r="M37" s="188"/>
      <c r="N37" s="188"/>
      <c r="O37" s="188"/>
      <c r="P37" s="326"/>
      <c r="Q37" s="188"/>
      <c r="R37" s="188"/>
      <c r="S37" s="188"/>
      <c r="T37" s="188"/>
      <c r="U37" s="188"/>
      <c r="V37" s="327"/>
      <c r="W37" s="194"/>
      <c r="Y37" s="343"/>
      <c r="Z37" s="23"/>
      <c r="AA37" s="23"/>
      <c r="AB37" s="26"/>
      <c r="AD37" s="370"/>
      <c r="AE37" s="371"/>
      <c r="AF37" s="372"/>
    </row>
    <row r="38" spans="1:32" s="342" customFormat="1">
      <c r="A38" s="340">
        <v>46129</v>
      </c>
      <c r="B38" s="369" t="s">
        <v>186</v>
      </c>
      <c r="C38" s="186" t="s">
        <v>25</v>
      </c>
      <c r="D38" s="187"/>
      <c r="E38" s="188"/>
      <c r="F38" s="187">
        <v>-830</v>
      </c>
      <c r="G38" s="193"/>
      <c r="H38" s="188"/>
      <c r="I38" s="188"/>
      <c r="J38" s="188"/>
      <c r="K38" s="188"/>
      <c r="L38" s="188"/>
      <c r="M38" s="188"/>
      <c r="N38" s="188"/>
      <c r="O38" s="188"/>
      <c r="P38" s="326"/>
      <c r="Q38" s="188"/>
      <c r="R38" s="188"/>
      <c r="S38" s="188"/>
      <c r="T38" s="188"/>
      <c r="U38" s="188"/>
      <c r="V38" s="327"/>
      <c r="W38" s="194"/>
      <c r="Y38" s="343"/>
      <c r="Z38" s="23"/>
      <c r="AA38" s="23"/>
      <c r="AB38" s="26"/>
      <c r="AD38" s="370"/>
      <c r="AE38" s="371"/>
      <c r="AF38" s="372"/>
    </row>
    <row r="39" spans="1:32" s="342" customFormat="1">
      <c r="A39" s="340">
        <v>46131</v>
      </c>
      <c r="B39" s="369" t="s">
        <v>16</v>
      </c>
      <c r="C39" s="186" t="s">
        <v>16</v>
      </c>
      <c r="D39" s="187"/>
      <c r="E39" s="188"/>
      <c r="F39" s="187">
        <v>-300</v>
      </c>
      <c r="G39" s="193">
        <v>-120</v>
      </c>
      <c r="H39" s="188"/>
      <c r="I39" s="188"/>
      <c r="J39" s="188"/>
      <c r="K39" s="188"/>
      <c r="L39" s="188"/>
      <c r="M39" s="188"/>
      <c r="N39" s="188"/>
      <c r="O39" s="188"/>
      <c r="P39" s="326"/>
      <c r="Q39" s="188"/>
      <c r="R39" s="188"/>
      <c r="S39" s="188"/>
      <c r="T39" s="188"/>
      <c r="U39" s="188"/>
      <c r="V39" s="327"/>
      <c r="W39" s="194"/>
      <c r="Y39" s="343"/>
      <c r="Z39" s="23"/>
      <c r="AA39" s="23"/>
      <c r="AB39" s="26"/>
      <c r="AD39" s="370"/>
      <c r="AE39" s="371"/>
      <c r="AF39" s="372"/>
    </row>
    <row r="40" spans="1:32" s="342" customFormat="1">
      <c r="A40" s="340">
        <v>46132</v>
      </c>
      <c r="B40" s="369" t="s">
        <v>187</v>
      </c>
      <c r="C40" s="186" t="s">
        <v>12</v>
      </c>
      <c r="D40" s="187"/>
      <c r="E40" s="188">
        <f>-72.39-74</f>
        <v>-146.38999999999999</v>
      </c>
      <c r="F40" s="187">
        <v>-20</v>
      </c>
      <c r="G40" s="193"/>
      <c r="H40" s="188"/>
      <c r="I40" s="188"/>
      <c r="J40" s="188"/>
      <c r="K40" s="188"/>
      <c r="L40" s="188"/>
      <c r="M40" s="188"/>
      <c r="N40" s="188"/>
      <c r="O40" s="188"/>
      <c r="P40" s="326"/>
      <c r="Q40" s="188"/>
      <c r="R40" s="188"/>
      <c r="S40" s="188"/>
      <c r="T40" s="188"/>
      <c r="U40" s="188"/>
      <c r="V40" s="327"/>
      <c r="W40" s="194"/>
      <c r="Y40" s="343"/>
      <c r="Z40" s="23"/>
      <c r="AA40" s="23"/>
      <c r="AB40" s="26"/>
      <c r="AD40" s="370"/>
      <c r="AE40" s="371"/>
      <c r="AF40" s="372"/>
    </row>
    <row r="41" spans="1:32" s="342" customFormat="1">
      <c r="A41" s="340">
        <v>46132</v>
      </c>
      <c r="B41" s="369" t="s">
        <v>147</v>
      </c>
      <c r="C41" s="186" t="s">
        <v>8</v>
      </c>
      <c r="D41" s="187"/>
      <c r="E41" s="188"/>
      <c r="F41" s="187">
        <v>-28</v>
      </c>
      <c r="G41" s="193"/>
      <c r="H41" s="188"/>
      <c r="I41" s="188"/>
      <c r="J41" s="188"/>
      <c r="K41" s="188"/>
      <c r="L41" s="188"/>
      <c r="M41" s="188"/>
      <c r="N41" s="188"/>
      <c r="O41" s="188"/>
      <c r="P41" s="326"/>
      <c r="Q41" s="188"/>
      <c r="R41" s="188"/>
      <c r="S41" s="188"/>
      <c r="T41" s="188"/>
      <c r="U41" s="188"/>
      <c r="V41" s="327"/>
      <c r="W41" s="194"/>
      <c r="Y41" s="343"/>
      <c r="Z41" s="23"/>
      <c r="AA41" s="23"/>
      <c r="AB41" s="26"/>
      <c r="AD41" s="370"/>
      <c r="AE41" s="371"/>
      <c r="AF41" s="372"/>
    </row>
    <row r="42" spans="1:32" s="342" customFormat="1">
      <c r="A42" s="340">
        <v>46132</v>
      </c>
      <c r="B42" s="369" t="s">
        <v>188</v>
      </c>
      <c r="C42" s="186" t="s">
        <v>8</v>
      </c>
      <c r="D42" s="187"/>
      <c r="E42" s="188"/>
      <c r="F42" s="187">
        <v>-20</v>
      </c>
      <c r="G42" s="193"/>
      <c r="H42" s="188"/>
      <c r="I42" s="188"/>
      <c r="J42" s="188"/>
      <c r="K42" s="188"/>
      <c r="L42" s="188"/>
      <c r="M42" s="188"/>
      <c r="N42" s="188"/>
      <c r="O42" s="188"/>
      <c r="P42" s="326"/>
      <c r="Q42" s="188"/>
      <c r="R42" s="188"/>
      <c r="S42" s="188"/>
      <c r="T42" s="188"/>
      <c r="U42" s="188"/>
      <c r="V42" s="327"/>
      <c r="W42" s="194"/>
      <c r="Y42" s="343"/>
      <c r="Z42" s="23"/>
      <c r="AA42" s="23"/>
      <c r="AB42" s="26"/>
      <c r="AD42" s="370"/>
      <c r="AE42" s="371"/>
      <c r="AF42" s="372"/>
    </row>
    <row r="43" spans="1:32" s="342" customFormat="1">
      <c r="A43" s="340">
        <v>46132</v>
      </c>
      <c r="B43" s="369" t="s">
        <v>13</v>
      </c>
      <c r="C43" s="186" t="s">
        <v>13</v>
      </c>
      <c r="D43" s="187"/>
      <c r="E43" s="188"/>
      <c r="F43" s="187">
        <f>-100-43-13</f>
        <v>-156</v>
      </c>
      <c r="G43" s="193"/>
      <c r="H43" s="188"/>
      <c r="I43" s="188"/>
      <c r="J43" s="188"/>
      <c r="K43" s="188"/>
      <c r="L43" s="188"/>
      <c r="M43" s="188"/>
      <c r="N43" s="188"/>
      <c r="O43" s="188"/>
      <c r="P43" s="326"/>
      <c r="Q43" s="188"/>
      <c r="R43" s="188"/>
      <c r="S43" s="188"/>
      <c r="T43" s="188"/>
      <c r="U43" s="188"/>
      <c r="V43" s="327"/>
      <c r="W43" s="194"/>
      <c r="Y43" s="343"/>
      <c r="Z43" s="23"/>
      <c r="AA43" s="23"/>
      <c r="AB43" s="26"/>
      <c r="AD43" s="370"/>
      <c r="AE43" s="371"/>
      <c r="AF43" s="372"/>
    </row>
    <row r="44" spans="1:32" s="342" customFormat="1">
      <c r="A44" s="340">
        <v>46135</v>
      </c>
      <c r="B44" s="369" t="s">
        <v>14</v>
      </c>
      <c r="C44" s="186" t="s">
        <v>14</v>
      </c>
      <c r="D44" s="187"/>
      <c r="E44" s="188"/>
      <c r="F44" s="187">
        <v>-40</v>
      </c>
      <c r="G44" s="193"/>
      <c r="H44" s="188"/>
      <c r="I44" s="188"/>
      <c r="J44" s="188"/>
      <c r="K44" s="188"/>
      <c r="L44" s="188"/>
      <c r="M44" s="188"/>
      <c r="N44" s="188"/>
      <c r="O44" s="188"/>
      <c r="P44" s="326"/>
      <c r="Q44" s="188"/>
      <c r="R44" s="188"/>
      <c r="S44" s="188"/>
      <c r="T44" s="188"/>
      <c r="U44" s="188"/>
      <c r="V44" s="327"/>
      <c r="W44" s="194"/>
      <c r="Y44" s="343"/>
      <c r="Z44" s="23"/>
      <c r="AA44" s="23"/>
      <c r="AB44" s="26"/>
      <c r="AD44" s="370"/>
      <c r="AE44" s="371"/>
      <c r="AF44" s="372"/>
    </row>
    <row r="45" spans="1:32" s="342" customFormat="1">
      <c r="A45" s="340">
        <v>46136</v>
      </c>
      <c r="B45" s="369" t="s">
        <v>170</v>
      </c>
      <c r="C45" s="186" t="s">
        <v>170</v>
      </c>
      <c r="D45" s="187"/>
      <c r="E45" s="188">
        <f>4940+5000</f>
        <v>9940</v>
      </c>
      <c r="F45" s="187"/>
      <c r="G45" s="193"/>
      <c r="H45" s="188"/>
      <c r="I45" s="188"/>
      <c r="J45" s="188"/>
      <c r="K45" s="188"/>
      <c r="L45" s="188"/>
      <c r="M45" s="188"/>
      <c r="N45" s="188"/>
      <c r="O45" s="188"/>
      <c r="P45" s="326"/>
      <c r="Q45" s="188"/>
      <c r="R45" s="188"/>
      <c r="S45" s="188"/>
      <c r="T45" s="188"/>
      <c r="U45" s="188"/>
      <c r="V45" s="327"/>
      <c r="W45" s="194"/>
      <c r="Y45" s="343"/>
      <c r="Z45" s="23"/>
      <c r="AA45" s="23"/>
      <c r="AB45" s="26"/>
      <c r="AD45" s="370"/>
      <c r="AE45" s="371"/>
      <c r="AF45" s="372"/>
    </row>
    <row r="46" spans="1:32" s="342" customFormat="1">
      <c r="A46" s="340">
        <v>46136</v>
      </c>
      <c r="B46" s="369" t="s">
        <v>16</v>
      </c>
      <c r="C46" s="186" t="s">
        <v>16</v>
      </c>
      <c r="D46" s="187"/>
      <c r="E46" s="188"/>
      <c r="F46" s="187"/>
      <c r="G46" s="193">
        <v>-76</v>
      </c>
      <c r="H46" s="188"/>
      <c r="I46" s="188"/>
      <c r="J46" s="188"/>
      <c r="K46" s="188"/>
      <c r="L46" s="188"/>
      <c r="M46" s="188"/>
      <c r="N46" s="188"/>
      <c r="O46" s="188"/>
      <c r="P46" s="326"/>
      <c r="Q46" s="188"/>
      <c r="R46" s="188"/>
      <c r="S46" s="188"/>
      <c r="T46" s="188"/>
      <c r="U46" s="188"/>
      <c r="V46" s="327"/>
      <c r="W46" s="194"/>
      <c r="Y46" s="343"/>
      <c r="Z46" s="23"/>
      <c r="AA46" s="23"/>
      <c r="AB46" s="26"/>
      <c r="AD46" s="370"/>
      <c r="AE46" s="371"/>
      <c r="AF46" s="372"/>
    </row>
    <row r="47" spans="1:32" s="342" customFormat="1">
      <c r="A47" s="340">
        <v>46136</v>
      </c>
      <c r="B47" s="369" t="s">
        <v>149</v>
      </c>
      <c r="C47" s="186" t="s">
        <v>149</v>
      </c>
      <c r="D47" s="187"/>
      <c r="E47" s="188">
        <f>-F47-G47</f>
        <v>-3427.7</v>
      </c>
      <c r="F47" s="187">
        <v>2006</v>
      </c>
      <c r="G47" s="193">
        <v>1421.7</v>
      </c>
      <c r="H47" s="188"/>
      <c r="I47" s="188"/>
      <c r="J47" s="188"/>
      <c r="K47" s="188"/>
      <c r="L47" s="188"/>
      <c r="M47" s="188"/>
      <c r="N47" s="188"/>
      <c r="O47" s="188"/>
      <c r="P47" s="326"/>
      <c r="Q47" s="188"/>
      <c r="R47" s="188"/>
      <c r="S47" s="188"/>
      <c r="T47" s="188"/>
      <c r="U47" s="188"/>
      <c r="V47" s="327"/>
      <c r="W47" s="194"/>
      <c r="Y47" s="343"/>
      <c r="Z47" s="23"/>
      <c r="AA47" s="23"/>
      <c r="AB47" s="26"/>
      <c r="AD47" s="370"/>
      <c r="AE47" s="371"/>
      <c r="AF47" s="372"/>
    </row>
    <row r="48" spans="1:32" s="342" customFormat="1">
      <c r="A48" s="340">
        <v>46139</v>
      </c>
      <c r="B48" s="369" t="s">
        <v>177</v>
      </c>
      <c r="C48" s="186" t="s">
        <v>12</v>
      </c>
      <c r="D48" s="187"/>
      <c r="E48" s="188">
        <v>-244.9</v>
      </c>
      <c r="F48" s="187"/>
      <c r="G48" s="193"/>
      <c r="H48" s="188"/>
      <c r="I48" s="188"/>
      <c r="J48" s="188"/>
      <c r="K48" s="188"/>
      <c r="L48" s="188"/>
      <c r="M48" s="188"/>
      <c r="N48" s="188"/>
      <c r="O48" s="188"/>
      <c r="P48" s="326"/>
      <c r="Q48" s="188"/>
      <c r="R48" s="188"/>
      <c r="S48" s="188"/>
      <c r="T48" s="188"/>
      <c r="U48" s="188"/>
      <c r="V48" s="327"/>
      <c r="W48" s="194"/>
      <c r="Y48" s="343"/>
      <c r="Z48" s="23"/>
      <c r="AA48" s="23"/>
      <c r="AB48" s="26"/>
      <c r="AD48" s="370"/>
      <c r="AE48" s="371"/>
      <c r="AF48" s="372"/>
    </row>
    <row r="49" spans="1:32" s="342" customFormat="1">
      <c r="A49" s="340">
        <v>46139</v>
      </c>
      <c r="B49" s="369" t="s">
        <v>189</v>
      </c>
      <c r="C49" s="186" t="s">
        <v>8</v>
      </c>
      <c r="D49" s="187"/>
      <c r="E49" s="188"/>
      <c r="F49" s="187">
        <v>-70</v>
      </c>
      <c r="G49" s="193"/>
      <c r="H49" s="188"/>
      <c r="I49" s="188"/>
      <c r="J49" s="188"/>
      <c r="K49" s="188"/>
      <c r="L49" s="188"/>
      <c r="M49" s="188"/>
      <c r="N49" s="188"/>
      <c r="O49" s="188"/>
      <c r="P49" s="326"/>
      <c r="Q49" s="188"/>
      <c r="R49" s="188"/>
      <c r="S49" s="188"/>
      <c r="T49" s="188"/>
      <c r="U49" s="188"/>
      <c r="V49" s="327"/>
      <c r="W49" s="194"/>
      <c r="Y49" s="343"/>
      <c r="Z49" s="23"/>
      <c r="AA49" s="23"/>
      <c r="AB49" s="26"/>
      <c r="AD49" s="370"/>
      <c r="AE49" s="371"/>
      <c r="AF49" s="372"/>
    </row>
    <row r="50" spans="1:32" s="342" customFormat="1">
      <c r="A50" s="340">
        <v>46139</v>
      </c>
      <c r="B50" s="369" t="s">
        <v>15</v>
      </c>
      <c r="C50" s="186" t="s">
        <v>15</v>
      </c>
      <c r="D50" s="187"/>
      <c r="E50" s="188"/>
      <c r="F50" s="187">
        <v>-93</v>
      </c>
      <c r="G50" s="193"/>
      <c r="H50" s="188"/>
      <c r="I50" s="188"/>
      <c r="J50" s="188"/>
      <c r="K50" s="188"/>
      <c r="L50" s="188"/>
      <c r="M50" s="188"/>
      <c r="N50" s="188"/>
      <c r="O50" s="188"/>
      <c r="P50" s="326"/>
      <c r="Q50" s="188"/>
      <c r="R50" s="188"/>
      <c r="S50" s="188"/>
      <c r="T50" s="188"/>
      <c r="U50" s="188"/>
      <c r="V50" s="327"/>
      <c r="W50" s="194"/>
      <c r="Y50" s="343"/>
      <c r="Z50" s="23"/>
      <c r="AA50" s="23"/>
      <c r="AB50" s="26"/>
      <c r="AD50" s="370"/>
      <c r="AE50" s="371"/>
      <c r="AF50" s="372"/>
    </row>
    <row r="51" spans="1:32" s="342" customFormat="1">
      <c r="A51" s="340">
        <v>46139</v>
      </c>
      <c r="B51" s="369" t="s">
        <v>190</v>
      </c>
      <c r="C51" s="186" t="s">
        <v>8</v>
      </c>
      <c r="D51" s="187"/>
      <c r="E51" s="188"/>
      <c r="F51" s="187">
        <v>-80</v>
      </c>
      <c r="G51" s="193"/>
      <c r="H51" s="188"/>
      <c r="I51" s="188"/>
      <c r="J51" s="188"/>
      <c r="K51" s="188"/>
      <c r="L51" s="188"/>
      <c r="M51" s="188"/>
      <c r="N51" s="188"/>
      <c r="O51" s="188"/>
      <c r="P51" s="326"/>
      <c r="Q51" s="188"/>
      <c r="R51" s="188"/>
      <c r="S51" s="188"/>
      <c r="T51" s="188"/>
      <c r="U51" s="188"/>
      <c r="V51" s="327"/>
      <c r="W51" s="194"/>
      <c r="Y51" s="343"/>
      <c r="Z51" s="23"/>
      <c r="AA51" s="23"/>
      <c r="AB51" s="26"/>
      <c r="AD51" s="370"/>
      <c r="AE51" s="371"/>
      <c r="AF51" s="372"/>
    </row>
    <row r="52" spans="1:32" s="342" customFormat="1">
      <c r="A52" s="340">
        <v>46139</v>
      </c>
      <c r="B52" s="369" t="s">
        <v>13</v>
      </c>
      <c r="C52" s="186" t="s">
        <v>13</v>
      </c>
      <c r="D52" s="187"/>
      <c r="E52" s="188"/>
      <c r="F52" s="187">
        <f>-27-23-77-156</f>
        <v>-283</v>
      </c>
      <c r="G52" s="193">
        <v>-50</v>
      </c>
      <c r="H52" s="188"/>
      <c r="I52" s="188"/>
      <c r="J52" s="188"/>
      <c r="K52" s="188"/>
      <c r="L52" s="188"/>
      <c r="M52" s="188"/>
      <c r="N52" s="188"/>
      <c r="O52" s="188"/>
      <c r="P52" s="326"/>
      <c r="Q52" s="188"/>
      <c r="R52" s="188"/>
      <c r="S52" s="188"/>
      <c r="T52" s="188"/>
      <c r="U52" s="188"/>
      <c r="V52" s="327"/>
      <c r="W52" s="194"/>
      <c r="Y52" s="343"/>
      <c r="Z52" s="23"/>
      <c r="AA52" s="23"/>
      <c r="AB52" s="26"/>
      <c r="AD52" s="370"/>
      <c r="AE52" s="371"/>
      <c r="AF52" s="372"/>
    </row>
    <row r="53" spans="1:32" s="342" customFormat="1">
      <c r="A53" s="340">
        <v>46141</v>
      </c>
      <c r="B53" s="369" t="s">
        <v>170</v>
      </c>
      <c r="C53" s="186" t="s">
        <v>170</v>
      </c>
      <c r="D53" s="187"/>
      <c r="E53" s="188">
        <v>9906</v>
      </c>
      <c r="F53" s="187"/>
      <c r="G53" s="193"/>
      <c r="H53" s="188"/>
      <c r="I53" s="188"/>
      <c r="J53" s="188"/>
      <c r="K53" s="188"/>
      <c r="L53" s="188"/>
      <c r="M53" s="188"/>
      <c r="N53" s="188"/>
      <c r="O53" s="188"/>
      <c r="P53" s="326"/>
      <c r="Q53" s="188"/>
      <c r="R53" s="188"/>
      <c r="S53" s="188"/>
      <c r="T53" s="188"/>
      <c r="U53" s="188"/>
      <c r="V53" s="327"/>
      <c r="W53" s="194"/>
      <c r="Y53" s="343"/>
      <c r="Z53" s="23"/>
      <c r="AA53" s="23"/>
      <c r="AB53" s="26"/>
      <c r="AD53" s="370"/>
      <c r="AE53" s="371"/>
      <c r="AF53" s="372"/>
    </row>
    <row r="54" spans="1:32" s="342" customFormat="1">
      <c r="A54" s="340">
        <v>46141</v>
      </c>
      <c r="B54" s="369" t="s">
        <v>23</v>
      </c>
      <c r="C54" s="186" t="s">
        <v>23</v>
      </c>
      <c r="D54" s="187"/>
      <c r="E54" s="188"/>
      <c r="F54" s="187">
        <f>-100-18-60</f>
        <v>-178</v>
      </c>
      <c r="G54" s="193">
        <v>-270</v>
      </c>
      <c r="H54" s="188"/>
      <c r="I54" s="188"/>
      <c r="J54" s="188"/>
      <c r="K54" s="188"/>
      <c r="L54" s="188"/>
      <c r="M54" s="188"/>
      <c r="N54" s="188"/>
      <c r="O54" s="188"/>
      <c r="P54" s="326"/>
      <c r="Q54" s="188"/>
      <c r="R54" s="188"/>
      <c r="S54" s="188"/>
      <c r="T54" s="188"/>
      <c r="U54" s="188"/>
      <c r="V54" s="327"/>
      <c r="W54" s="194"/>
      <c r="Y54" s="343"/>
      <c r="Z54" s="23"/>
      <c r="AA54" s="23"/>
      <c r="AB54" s="26"/>
      <c r="AD54" s="370"/>
      <c r="AE54" s="371"/>
      <c r="AF54" s="372"/>
    </row>
    <row r="55" spans="1:32" s="342" customFormat="1">
      <c r="A55" s="340">
        <v>46142</v>
      </c>
      <c r="B55" s="369" t="s">
        <v>191</v>
      </c>
      <c r="C55" s="186" t="s">
        <v>4</v>
      </c>
      <c r="D55" s="187"/>
      <c r="E55" s="188">
        <v>-2000</v>
      </c>
      <c r="F55" s="187"/>
      <c r="G55" s="193"/>
      <c r="H55" s="188"/>
      <c r="I55" s="188"/>
      <c r="J55" s="188"/>
      <c r="K55" s="188"/>
      <c r="L55" s="188"/>
      <c r="M55" s="188"/>
      <c r="N55" s="188"/>
      <c r="O55" s="188"/>
      <c r="P55" s="326"/>
      <c r="Q55" s="188">
        <v>2000</v>
      </c>
      <c r="R55" s="188"/>
      <c r="S55" s="188"/>
      <c r="T55" s="188"/>
      <c r="U55" s="188"/>
      <c r="V55" s="327"/>
      <c r="W55" s="194"/>
      <c r="Y55" s="343"/>
      <c r="Z55" s="23"/>
      <c r="AA55" s="23"/>
      <c r="AB55" s="26"/>
      <c r="AD55" s="370"/>
      <c r="AE55" s="371"/>
      <c r="AF55" s="372"/>
    </row>
    <row r="56" spans="1:32" s="342" customFormat="1">
      <c r="A56" s="340">
        <v>46142</v>
      </c>
      <c r="B56" s="369" t="s">
        <v>191</v>
      </c>
      <c r="C56" s="186" t="s">
        <v>4</v>
      </c>
      <c r="D56" s="187"/>
      <c r="E56" s="188">
        <v>-1000</v>
      </c>
      <c r="F56" s="187"/>
      <c r="G56" s="193"/>
      <c r="H56" s="188"/>
      <c r="I56" s="188"/>
      <c r="J56" s="188"/>
      <c r="K56" s="188"/>
      <c r="L56" s="188"/>
      <c r="M56" s="188"/>
      <c r="N56" s="188"/>
      <c r="O56" s="188"/>
      <c r="P56" s="326"/>
      <c r="Q56" s="188"/>
      <c r="R56" s="188"/>
      <c r="S56" s="188">
        <v>1000</v>
      </c>
      <c r="T56" s="188"/>
      <c r="U56" s="188"/>
      <c r="V56" s="327"/>
      <c r="W56" s="194"/>
      <c r="Y56" s="343"/>
      <c r="Z56" s="23"/>
      <c r="AA56" s="23"/>
      <c r="AB56" s="26"/>
      <c r="AD56" s="370"/>
      <c r="AE56" s="371"/>
      <c r="AF56" s="372"/>
    </row>
    <row r="57" spans="1:32" s="342" customFormat="1">
      <c r="A57" s="340">
        <v>46142</v>
      </c>
      <c r="B57" s="369" t="s">
        <v>3</v>
      </c>
      <c r="C57" s="299" t="s">
        <v>3</v>
      </c>
      <c r="D57" s="188"/>
      <c r="E57" s="188">
        <v>-25</v>
      </c>
      <c r="F57" s="326"/>
      <c r="G57" s="327"/>
      <c r="H57" s="188"/>
      <c r="I57" s="188">
        <v>25</v>
      </c>
      <c r="J57" s="377"/>
      <c r="K57" s="377"/>
      <c r="L57" s="377"/>
      <c r="M57" s="377"/>
      <c r="N57" s="377"/>
      <c r="O57" s="377"/>
      <c r="P57" s="414"/>
      <c r="Q57" s="377"/>
      <c r="R57" s="377"/>
      <c r="S57" s="377"/>
      <c r="T57" s="377"/>
      <c r="U57" s="377"/>
      <c r="V57" s="415"/>
      <c r="W57" s="380"/>
      <c r="Y57" s="343"/>
      <c r="Z57" s="23"/>
      <c r="AA57" s="23"/>
      <c r="AB57" s="26"/>
      <c r="AD57" s="370"/>
      <c r="AE57" s="371"/>
      <c r="AF57" s="372"/>
    </row>
    <row r="58" spans="1:32" s="342" customFormat="1">
      <c r="A58" s="340">
        <v>46142</v>
      </c>
      <c r="B58" s="341" t="s">
        <v>149</v>
      </c>
      <c r="C58" s="299" t="s">
        <v>149</v>
      </c>
      <c r="D58" s="377"/>
      <c r="E58" s="379">
        <f>-SUM(F58:G58)</f>
        <v>-7926.08</v>
      </c>
      <c r="F58" s="378">
        <f>-SUM(F4:F57)</f>
        <v>6360.65</v>
      </c>
      <c r="G58" s="379">
        <f>-SUM(G4:G57)</f>
        <v>1565.43</v>
      </c>
      <c r="H58" s="377"/>
      <c r="I58" s="377"/>
      <c r="J58" s="377"/>
      <c r="K58" s="377"/>
      <c r="L58" s="377"/>
      <c r="M58" s="377"/>
      <c r="N58" s="377"/>
      <c r="O58" s="377"/>
      <c r="P58" s="648"/>
      <c r="Q58" s="402"/>
      <c r="R58" s="402"/>
      <c r="S58" s="402"/>
      <c r="T58" s="402"/>
      <c r="U58" s="402"/>
      <c r="V58" s="649"/>
      <c r="W58" s="380"/>
      <c r="Y58" s="343"/>
      <c r="Z58" s="23"/>
      <c r="AA58" s="23"/>
      <c r="AB58" s="26"/>
      <c r="AD58" s="370"/>
      <c r="AE58" s="371"/>
      <c r="AF58" s="372"/>
    </row>
    <row r="59" spans="1:32" s="342" customFormat="1">
      <c r="A59" s="650"/>
      <c r="B59" s="651"/>
      <c r="C59" s="652"/>
      <c r="D59" s="653"/>
      <c r="E59" s="654">
        <f>9400-SUM(E3:E58)</f>
        <v>-15286.929999999993</v>
      </c>
      <c r="F59" s="653"/>
      <c r="G59" s="655"/>
      <c r="H59" s="654">
        <v>3000</v>
      </c>
      <c r="I59" s="654">
        <v>2000</v>
      </c>
      <c r="J59" s="654"/>
      <c r="K59" s="654">
        <v>286</v>
      </c>
      <c r="L59" s="654">
        <v>3000</v>
      </c>
      <c r="M59" s="654"/>
      <c r="N59" s="654"/>
      <c r="O59" s="654">
        <v>7000</v>
      </c>
      <c r="P59" s="656"/>
      <c r="Q59" s="657"/>
      <c r="R59" s="657">
        <v>2058</v>
      </c>
      <c r="S59" s="657"/>
      <c r="T59" s="657"/>
      <c r="U59" s="657"/>
      <c r="V59" s="658">
        <v>14333</v>
      </c>
      <c r="W59" s="659">
        <f>97.7+34.5+28.7</f>
        <v>160.89999999999998</v>
      </c>
      <c r="Y59" s="440"/>
      <c r="Z59" s="441"/>
      <c r="AA59" s="441"/>
      <c r="AB59" s="442"/>
      <c r="AD59" s="443"/>
      <c r="AE59" s="444"/>
      <c r="AF59" s="445"/>
    </row>
    <row r="60" spans="1:32" s="342" customFormat="1">
      <c r="A60" s="446" t="s">
        <v>134</v>
      </c>
      <c r="B60" s="447"/>
      <c r="C60" s="448"/>
      <c r="D60" s="457">
        <f>SUM(D3:D59)</f>
        <v>2000</v>
      </c>
      <c r="E60" s="457">
        <f>SUM(E3:E59)</f>
        <v>9400</v>
      </c>
      <c r="F60" s="420">
        <f>SUM(F3:F59)</f>
        <v>0</v>
      </c>
      <c r="G60" s="420">
        <f>SUM(G3:G59)</f>
        <v>0</v>
      </c>
      <c r="H60" s="457">
        <f>SUM(H3:H59)</f>
        <v>7939.0800000000017</v>
      </c>
      <c r="I60" s="457">
        <f>SUM(I3:I59)</f>
        <v>49090.000000000007</v>
      </c>
      <c r="J60" s="457">
        <f>SUM(J3:J59)</f>
        <v>152868</v>
      </c>
      <c r="K60" s="457">
        <f>SUM(K3:K59)</f>
        <v>60578.679999999993</v>
      </c>
      <c r="L60" s="457">
        <f>SUM(L3:L59)</f>
        <v>24245.91</v>
      </c>
      <c r="M60" s="457">
        <f>SUM(M3:M59)</f>
        <v>32000.370000000003</v>
      </c>
      <c r="N60" s="457">
        <f>SUM(N3:N59)</f>
        <v>4000</v>
      </c>
      <c r="O60" s="457">
        <f>SUM(O3:O59)</f>
        <v>33572.5</v>
      </c>
      <c r="P60" s="457">
        <f>SUM(P3:P59)</f>
        <v>213589</v>
      </c>
      <c r="Q60" s="457">
        <f>SUM(Q3:Q59)</f>
        <v>132109</v>
      </c>
      <c r="R60" s="457">
        <f>SUM(R3:R59)</f>
        <v>67829</v>
      </c>
      <c r="S60" s="457">
        <f>SUM(S3:S59)</f>
        <v>6585</v>
      </c>
      <c r="T60" s="457">
        <f>SUM(T3:T59)</f>
        <v>33181</v>
      </c>
      <c r="U60" s="457">
        <f>SUM(U3:U59)</f>
        <v>27298</v>
      </c>
      <c r="V60" s="457">
        <f>SUM(V3:V59)</f>
        <v>246316</v>
      </c>
      <c r="W60" s="458">
        <f>SUM(W3:W59)</f>
        <v>3882.48</v>
      </c>
      <c r="Y60" s="449" t="s">
        <v>29</v>
      </c>
      <c r="Z60" s="450">
        <f>SUM(Z4:Z58)</f>
        <v>21825</v>
      </c>
      <c r="AA60" s="450">
        <f>SUM(AA4:AA58)</f>
        <v>-25755.07</v>
      </c>
      <c r="AB60" s="451">
        <f>SUM(AB4:AB58)</f>
        <v>-3930.0699999999997</v>
      </c>
      <c r="AC60" s="452"/>
      <c r="AD60" s="449"/>
      <c r="AE60" s="453"/>
      <c r="AF60" s="394"/>
    </row>
    <row r="61" spans="1:32">
      <c r="A61" s="31"/>
      <c r="B61" s="31"/>
      <c r="C61" s="96"/>
      <c r="D61" s="434"/>
      <c r="E61" s="434"/>
      <c r="F61" s="434"/>
      <c r="G61" s="434"/>
      <c r="H61" s="434"/>
      <c r="I61" s="434"/>
      <c r="J61" s="434"/>
      <c r="K61" s="434"/>
      <c r="L61" s="434"/>
      <c r="M61" s="434"/>
      <c r="N61" s="434"/>
      <c r="O61" s="536"/>
      <c r="P61" s="537"/>
      <c r="Q61" s="537"/>
      <c r="R61" s="537"/>
      <c r="S61" s="537"/>
      <c r="T61" s="538"/>
      <c r="U61" s="538"/>
      <c r="V61" s="537"/>
      <c r="W61" s="320"/>
      <c r="Y61" s="31"/>
      <c r="Z61" s="95"/>
      <c r="AA61" s="95"/>
      <c r="AB61" s="95"/>
      <c r="AD61" s="31"/>
      <c r="AE61" s="24"/>
    </row>
    <row r="62" spans="1:32">
      <c r="A62" s="31"/>
      <c r="B62" s="31"/>
      <c r="C62"/>
      <c r="D62"/>
      <c r="E62" s="433"/>
      <c r="H62"/>
      <c r="I62"/>
      <c r="J62"/>
      <c r="K62"/>
      <c r="L62"/>
      <c r="M62"/>
      <c r="P62" s="456"/>
      <c r="Q62" s="590"/>
      <c r="R62" s="536"/>
      <c r="S62" s="536"/>
      <c r="T62" s="536"/>
      <c r="U62" s="536"/>
      <c r="V62" s="456"/>
      <c r="W62" s="641">
        <f>SUM(D60:W60)</f>
        <v>1106484.02</v>
      </c>
      <c r="Z62" s="95"/>
      <c r="AA62" s="95"/>
      <c r="AB62" s="95"/>
      <c r="AD62" s="31"/>
      <c r="AE62" s="24"/>
    </row>
    <row r="63" spans="1:32">
      <c r="A63"/>
      <c r="B63"/>
      <c r="C63"/>
      <c r="D63"/>
      <c r="E63"/>
      <c r="H63"/>
      <c r="I63"/>
      <c r="J63"/>
      <c r="K63" s="134"/>
      <c r="L63" s="188"/>
      <c r="M63"/>
      <c r="N63"/>
      <c r="O63" s="454"/>
      <c r="P63" s="456"/>
      <c r="Q63" s="454"/>
      <c r="R63" s="456"/>
      <c r="S63" s="456"/>
      <c r="T63" s="456"/>
      <c r="U63" s="456"/>
      <c r="V63" s="456"/>
      <c r="W63" s="281"/>
    </row>
    <row r="64" spans="1:32">
      <c r="A64"/>
      <c r="B64"/>
      <c r="C64"/>
      <c r="D64"/>
      <c r="E64"/>
      <c r="H64"/>
      <c r="I64"/>
      <c r="J64"/>
      <c r="K64" s="134"/>
      <c r="L64"/>
      <c r="M64"/>
      <c r="N64"/>
      <c r="O64" s="542"/>
      <c r="P64" s="455"/>
      <c r="Q64" s="454"/>
      <c r="R64" s="456"/>
      <c r="S64" s="456"/>
      <c r="T64" s="456"/>
      <c r="U64" s="456"/>
      <c r="V64" s="282"/>
      <c r="W64" s="282"/>
      <c r="X64" s="37"/>
      <c r="Y64" s="38" t="s">
        <v>135</v>
      </c>
    </row>
    <row r="65" spans="1:25">
      <c r="A65"/>
      <c r="B65"/>
      <c r="C65"/>
      <c r="D65"/>
      <c r="E65"/>
      <c r="J65"/>
      <c r="K65" s="134"/>
      <c r="L65"/>
      <c r="M65"/>
      <c r="N65"/>
      <c r="O65" s="2"/>
      <c r="P65"/>
      <c r="Q65"/>
      <c r="V65" s="204" t="s">
        <v>136</v>
      </c>
      <c r="W65" s="279">
        <f>SUM(H60:O60)</f>
        <v>364294.54</v>
      </c>
      <c r="X65" s="37"/>
      <c r="Y65" s="41">
        <f>W65/W68</f>
        <v>0.32923615110139592</v>
      </c>
    </row>
    <row r="66" spans="1:25">
      <c r="A66"/>
      <c r="B66"/>
      <c r="C66"/>
      <c r="D66"/>
      <c r="E66"/>
      <c r="H66"/>
      <c r="I66"/>
      <c r="J66"/>
      <c r="K66" s="134"/>
      <c r="L66"/>
      <c r="M66"/>
      <c r="N66"/>
      <c r="O66" s="2"/>
      <c r="P66"/>
      <c r="Q66"/>
      <c r="V66" s="204" t="s">
        <v>137</v>
      </c>
      <c r="W66" s="279">
        <f>SUM(P60:W60)</f>
        <v>730789.48</v>
      </c>
      <c r="X66" s="37"/>
      <c r="Y66" s="41">
        <f>W66/W68</f>
        <v>0.66046094366550356</v>
      </c>
    </row>
    <row r="67" spans="1:25">
      <c r="A67"/>
      <c r="B67"/>
      <c r="C67"/>
      <c r="D67"/>
      <c r="E67"/>
      <c r="H67"/>
      <c r="I67"/>
      <c r="J67"/>
      <c r="K67" s="134"/>
      <c r="L67"/>
      <c r="M67"/>
      <c r="N67"/>
      <c r="O67" s="2"/>
      <c r="P67"/>
      <c r="Q67"/>
      <c r="V67" s="204" t="s">
        <v>138</v>
      </c>
      <c r="W67" s="279">
        <f>E60+D60</f>
        <v>11400</v>
      </c>
      <c r="X67" s="37"/>
      <c r="Y67" s="41">
        <f>W67/W68</f>
        <v>1.0302905233100429E-2</v>
      </c>
    </row>
    <row r="68" spans="1:25">
      <c r="A68"/>
      <c r="C68"/>
      <c r="D68"/>
      <c r="E68"/>
      <c r="H68"/>
      <c r="I68"/>
      <c r="J68"/>
      <c r="K68" s="134"/>
      <c r="L68"/>
      <c r="M68"/>
      <c r="N68"/>
      <c r="O68" s="2"/>
      <c r="P68"/>
      <c r="Q68"/>
      <c r="V68" s="204" t="s">
        <v>56</v>
      </c>
      <c r="W68" s="642">
        <f>SUM(W65:W67)</f>
        <v>1106484.02</v>
      </c>
      <c r="X68" s="37"/>
      <c r="Y68" s="43"/>
    </row>
    <row r="69" spans="1:25">
      <c r="A69"/>
      <c r="B69"/>
      <c r="C69"/>
      <c r="H69"/>
      <c r="I69"/>
      <c r="J69"/>
      <c r="K69" s="134"/>
      <c r="L69"/>
      <c r="M69"/>
      <c r="N69"/>
      <c r="O69"/>
      <c r="P69"/>
      <c r="Q69"/>
      <c r="V69" s="35"/>
      <c r="W69" s="44">
        <f>W68-W62</f>
        <v>0</v>
      </c>
      <c r="X69" s="37"/>
      <c r="Y69" s="37"/>
    </row>
    <row r="70" spans="1:25">
      <c r="A70"/>
      <c r="B70"/>
      <c r="C70"/>
      <c r="D70"/>
      <c r="E70"/>
      <c r="H70"/>
      <c r="I70"/>
      <c r="J70"/>
      <c r="K70"/>
      <c r="L70"/>
      <c r="M70"/>
      <c r="N70"/>
      <c r="O70"/>
      <c r="P70"/>
      <c r="Q70"/>
      <c r="V70" s="456"/>
      <c r="W70" s="281"/>
    </row>
    <row r="71" spans="1:25">
      <c r="A71"/>
      <c r="B71"/>
      <c r="C71"/>
      <c r="D71"/>
      <c r="E71"/>
      <c r="F71" s="597"/>
      <c r="G71" s="134"/>
      <c r="H71" s="2"/>
      <c r="I71"/>
      <c r="J71"/>
      <c r="K71"/>
      <c r="L71" s="435"/>
      <c r="M71"/>
      <c r="N71"/>
      <c r="O71"/>
      <c r="P71"/>
      <c r="Q71"/>
      <c r="V71" s="456"/>
      <c r="W71" s="534"/>
    </row>
    <row r="72" spans="1:25" ht="15.75" customHeight="1">
      <c r="A72"/>
      <c r="B72"/>
      <c r="C72"/>
      <c r="D72"/>
      <c r="E72"/>
      <c r="H72" s="2"/>
      <c r="I72"/>
      <c r="J72"/>
      <c r="K72"/>
      <c r="L72"/>
      <c r="M72"/>
      <c r="N72"/>
      <c r="O72"/>
      <c r="P72"/>
      <c r="Q72"/>
      <c r="V72" s="456"/>
      <c r="W72" s="281"/>
    </row>
    <row r="73" spans="1:25">
      <c r="A73"/>
      <c r="B73"/>
      <c r="C73"/>
      <c r="D73"/>
      <c r="E73"/>
      <c r="H73" s="2"/>
      <c r="I73" s="2"/>
      <c r="J73"/>
      <c r="K73"/>
      <c r="L73"/>
      <c r="M73"/>
      <c r="N73"/>
      <c r="O73"/>
      <c r="P73"/>
      <c r="Q73"/>
      <c r="X73" s="33"/>
    </row>
    <row r="74" spans="1:25">
      <c r="A74"/>
      <c r="B74"/>
      <c r="E74"/>
      <c r="H74" s="2"/>
      <c r="I74" s="2"/>
      <c r="J74"/>
      <c r="K74"/>
      <c r="L74"/>
      <c r="M74"/>
      <c r="N74"/>
      <c r="O74"/>
      <c r="P74"/>
      <c r="Q74"/>
      <c r="V74" s="456"/>
      <c r="X74" s="33"/>
    </row>
    <row r="75" spans="1:25">
      <c r="A75"/>
      <c r="B75"/>
      <c r="H75" s="2"/>
      <c r="I75" s="2"/>
      <c r="J75" s="2"/>
      <c r="K75" s="2"/>
      <c r="L75" s="2"/>
      <c r="M75"/>
      <c r="N75"/>
      <c r="O75"/>
      <c r="P75"/>
      <c r="Q75"/>
      <c r="V75" s="456"/>
      <c r="X75" s="33"/>
    </row>
    <row r="76" spans="1:25">
      <c r="A76"/>
      <c r="B76"/>
      <c r="H76" s="2"/>
      <c r="I76" s="2"/>
      <c r="J76" s="2"/>
      <c r="K76" s="2"/>
      <c r="L76" s="2"/>
      <c r="M76"/>
      <c r="N76"/>
      <c r="O76"/>
      <c r="P76"/>
      <c r="Q76"/>
      <c r="V76" s="456"/>
      <c r="X76" s="33"/>
    </row>
    <row r="77" spans="1:25">
      <c r="A77"/>
      <c r="B77"/>
      <c r="C77"/>
      <c r="H77" s="2"/>
      <c r="I77" s="2"/>
      <c r="J77" s="2"/>
      <c r="K77" s="2"/>
      <c r="L77" s="2"/>
      <c r="M77"/>
      <c r="N77"/>
      <c r="O77"/>
      <c r="P77"/>
      <c r="Q77"/>
      <c r="X77" s="33"/>
    </row>
    <row r="78" spans="1:25">
      <c r="A78"/>
      <c r="B78"/>
      <c r="H78" s="2"/>
      <c r="I78" s="2"/>
      <c r="J78" s="2"/>
      <c r="K78" s="2"/>
      <c r="L78" s="2"/>
      <c r="M78"/>
      <c r="N78"/>
      <c r="O78"/>
      <c r="P78"/>
      <c r="Q78"/>
      <c r="V78" s="456"/>
      <c r="W78" s="535"/>
    </row>
    <row r="79" spans="1:25">
      <c r="A79"/>
      <c r="B79"/>
      <c r="H79" s="2"/>
      <c r="I79" s="2"/>
      <c r="J79" s="2"/>
      <c r="K79" s="2"/>
      <c r="L79" s="2"/>
      <c r="M79"/>
      <c r="N79"/>
      <c r="O79"/>
      <c r="P79"/>
      <c r="Q79"/>
    </row>
    <row r="80" spans="1:25">
      <c r="A80"/>
      <c r="B80"/>
      <c r="H80" s="2"/>
      <c r="I80" s="2"/>
      <c r="J80" s="2"/>
      <c r="K80" s="2"/>
      <c r="L80" s="2"/>
      <c r="M80"/>
      <c r="N80"/>
      <c r="O80"/>
      <c r="P80"/>
      <c r="Q80"/>
    </row>
    <row r="81" spans="1:17">
      <c r="A81"/>
      <c r="B81"/>
      <c r="G81"/>
      <c r="H81"/>
      <c r="I81"/>
      <c r="J81"/>
      <c r="K81"/>
      <c r="L81"/>
      <c r="M81"/>
      <c r="N81"/>
      <c r="O81"/>
      <c r="P81"/>
      <c r="Q81"/>
    </row>
    <row r="82" spans="1:17">
      <c r="A82"/>
      <c r="B82"/>
      <c r="G82"/>
      <c r="H82"/>
      <c r="I82"/>
      <c r="J82"/>
      <c r="K82"/>
      <c r="L82"/>
      <c r="M82"/>
      <c r="N82"/>
      <c r="O82"/>
      <c r="P82"/>
      <c r="Q82"/>
    </row>
    <row r="83" spans="1:17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>
      <c r="B84"/>
      <c r="C84"/>
      <c r="D84"/>
      <c r="E84"/>
      <c r="F84"/>
      <c r="G84"/>
      <c r="H84"/>
      <c r="I84"/>
      <c r="J84"/>
      <c r="K84"/>
      <c r="L84"/>
      <c r="M84"/>
    </row>
    <row r="85" spans="1:17">
      <c r="B85"/>
      <c r="C85"/>
      <c r="D85"/>
      <c r="E85"/>
      <c r="F85"/>
      <c r="G85"/>
      <c r="H85"/>
      <c r="I85"/>
      <c r="J85"/>
      <c r="K85"/>
      <c r="L85"/>
      <c r="M85"/>
    </row>
    <row r="86" spans="1:17">
      <c r="B86"/>
      <c r="C86"/>
      <c r="D86"/>
      <c r="E86"/>
      <c r="F86"/>
      <c r="G86"/>
      <c r="H86"/>
      <c r="I86"/>
      <c r="J86"/>
      <c r="K86"/>
      <c r="L86"/>
      <c r="M86"/>
    </row>
    <row r="87" spans="1:17">
      <c r="B87"/>
      <c r="C87"/>
      <c r="D87"/>
      <c r="E87"/>
      <c r="F87"/>
      <c r="G87"/>
      <c r="H87"/>
      <c r="I87"/>
      <c r="J87"/>
      <c r="K87"/>
      <c r="L87"/>
      <c r="M87"/>
    </row>
    <row r="88" spans="1:17">
      <c r="B88"/>
      <c r="C88"/>
      <c r="D88"/>
      <c r="E88"/>
      <c r="F88"/>
      <c r="G88"/>
      <c r="H88"/>
      <c r="I88"/>
      <c r="J88"/>
      <c r="K88"/>
      <c r="L88"/>
      <c r="M88"/>
    </row>
    <row r="89" spans="1:17">
      <c r="B89"/>
      <c r="C89"/>
      <c r="D89"/>
      <c r="E89"/>
      <c r="F89"/>
      <c r="G89"/>
      <c r="H89"/>
      <c r="I89"/>
      <c r="J89"/>
      <c r="K89"/>
      <c r="L89"/>
      <c r="M89"/>
    </row>
    <row r="90" spans="1:17">
      <c r="B90"/>
      <c r="C90"/>
      <c r="D90"/>
      <c r="E90"/>
      <c r="F90"/>
      <c r="G90"/>
    </row>
    <row r="91" spans="1:17">
      <c r="B91"/>
      <c r="C91"/>
      <c r="D91"/>
      <c r="E91"/>
      <c r="F91"/>
      <c r="G91"/>
    </row>
    <row r="92" spans="1:17">
      <c r="B92"/>
      <c r="C92"/>
      <c r="D92"/>
      <c r="E92"/>
      <c r="F92"/>
      <c r="G92"/>
    </row>
    <row r="93" spans="1:17">
      <c r="B93"/>
      <c r="C93"/>
      <c r="D93"/>
      <c r="E93"/>
      <c r="F93"/>
      <c r="G93"/>
    </row>
    <row r="94" spans="1:17">
      <c r="B94"/>
      <c r="C94"/>
      <c r="D94"/>
      <c r="E94"/>
      <c r="F94"/>
      <c r="G94"/>
    </row>
    <row r="95" spans="1:17">
      <c r="B95"/>
      <c r="C95"/>
      <c r="D95"/>
      <c r="E95"/>
      <c r="F95"/>
      <c r="G95"/>
    </row>
    <row r="96" spans="1:1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  <row r="136" spans="2:7">
      <c r="B136"/>
      <c r="C136"/>
      <c r="D136"/>
      <c r="E136"/>
      <c r="F136"/>
      <c r="G136"/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  <row r="141" spans="2:7">
      <c r="B141"/>
      <c r="C141"/>
      <c r="D141"/>
      <c r="E141"/>
      <c r="F141"/>
      <c r="G141"/>
    </row>
    <row r="142" spans="2:7">
      <c r="B142"/>
      <c r="C142"/>
      <c r="D142"/>
      <c r="E142"/>
      <c r="F142"/>
      <c r="G142"/>
    </row>
    <row r="143" spans="2:7">
      <c r="B143"/>
      <c r="C143"/>
      <c r="D143"/>
      <c r="E143"/>
      <c r="F143"/>
      <c r="G143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AG155"/>
  <sheetViews>
    <sheetView topLeftCell="A5" zoomScale="55" zoomScaleNormal="55" zoomScalePageLayoutView="85" workbookViewId="0">
      <selection activeCell="K90" sqref="K90:L98"/>
    </sheetView>
  </sheetViews>
  <sheetFormatPr defaultColWidth="8.85546875" defaultRowHeight="12.75" customHeight="1"/>
  <cols>
    <col min="1" max="1" width="12" style="2" customWidth="1"/>
    <col min="2" max="2" width="20.7109375" style="2" customWidth="1"/>
    <col min="3" max="3" width="14.5703125" style="2" bestFit="1" customWidth="1"/>
    <col min="4" max="4" width="12" style="2" customWidth="1"/>
    <col min="5" max="5" width="13.140625" style="2" customWidth="1"/>
    <col min="6" max="6" width="11.28515625" style="2" customWidth="1"/>
    <col min="7" max="7" width="12" style="2" bestFit="1" customWidth="1"/>
    <col min="8" max="8" width="12.140625" style="105" customWidth="1"/>
    <col min="9" max="9" width="10.85546875" style="105" customWidth="1"/>
    <col min="10" max="10" width="12" style="105" bestFit="1" customWidth="1"/>
    <col min="11" max="13" width="10.85546875" style="105" customWidth="1"/>
    <col min="14" max="14" width="9.7109375" style="105" bestFit="1" customWidth="1"/>
    <col min="15" max="15" width="12.140625" style="105" bestFit="1" customWidth="1"/>
    <col min="16" max="16" width="15.85546875" style="105" customWidth="1"/>
    <col min="17" max="18" width="13.7109375" style="105" bestFit="1" customWidth="1"/>
    <col min="19" max="19" width="12.5703125" style="105" bestFit="1" customWidth="1"/>
    <col min="20" max="21" width="13.140625" style="105" bestFit="1" customWidth="1"/>
    <col min="22" max="22" width="16" style="105" customWidth="1"/>
    <col min="23" max="23" width="16.28515625" style="33" customWidth="1"/>
    <col min="24" max="24" width="5.7109375" style="2" customWidth="1"/>
    <col min="25" max="25" width="12.42578125" style="2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697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331" t="s">
        <v>91</v>
      </c>
      <c r="B2" s="31" t="s">
        <v>114</v>
      </c>
      <c r="C2" s="419" t="s">
        <v>115</v>
      </c>
      <c r="D2" s="137" t="s">
        <v>116</v>
      </c>
      <c r="E2" s="141" t="s">
        <v>117</v>
      </c>
      <c r="F2" s="135" t="s">
        <v>150</v>
      </c>
      <c r="G2" s="136" t="s">
        <v>153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9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283"/>
      <c r="B3" s="287"/>
      <c r="C3" s="178"/>
      <c r="D3" s="412">
        <v>2000</v>
      </c>
      <c r="E3" s="396">
        <v>9200</v>
      </c>
      <c r="F3" s="412">
        <v>0</v>
      </c>
      <c r="G3" s="413">
        <v>0</v>
      </c>
      <c r="H3" s="196">
        <v>14645.080000000002</v>
      </c>
      <c r="I3" s="196">
        <v>57040.000000000007</v>
      </c>
      <c r="J3" s="196">
        <v>153796</v>
      </c>
      <c r="K3" s="196">
        <v>69712.679999999993</v>
      </c>
      <c r="L3" s="196">
        <v>20985.75</v>
      </c>
      <c r="M3" s="196">
        <v>32000.370000000003</v>
      </c>
      <c r="N3" s="196">
        <v>4000</v>
      </c>
      <c r="O3" s="196">
        <v>26572.500000000004</v>
      </c>
      <c r="P3" s="412">
        <v>213589</v>
      </c>
      <c r="Q3" s="196">
        <v>130109</v>
      </c>
      <c r="R3" s="196">
        <v>65171</v>
      </c>
      <c r="S3" s="196">
        <v>4185</v>
      </c>
      <c r="T3" s="196">
        <v>33181</v>
      </c>
      <c r="U3" s="196">
        <v>27298</v>
      </c>
      <c r="V3" s="196">
        <v>231983</v>
      </c>
      <c r="W3" s="593">
        <v>3246.86</v>
      </c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 s="342" customFormat="1">
      <c r="A4" s="340">
        <v>46082</v>
      </c>
      <c r="B4" s="369" t="s">
        <v>139</v>
      </c>
      <c r="C4" s="591" t="s">
        <v>22</v>
      </c>
      <c r="D4" s="377"/>
      <c r="E4" s="377">
        <v>-3688</v>
      </c>
      <c r="F4" s="581"/>
      <c r="G4" s="582"/>
      <c r="H4" s="377">
        <v>200</v>
      </c>
      <c r="I4" s="377"/>
      <c r="J4" s="377">
        <v>1000</v>
      </c>
      <c r="K4" s="377"/>
      <c r="L4" s="377">
        <v>260.16000000000003</v>
      </c>
      <c r="M4" s="377"/>
      <c r="N4" s="377"/>
      <c r="O4" s="377"/>
      <c r="P4" s="378"/>
      <c r="Q4" s="377"/>
      <c r="R4" s="377"/>
      <c r="S4" s="377"/>
      <c r="T4" s="377"/>
      <c r="U4" s="377"/>
      <c r="V4" s="377"/>
      <c r="W4" s="583"/>
      <c r="Y4" s="343" t="s">
        <v>8</v>
      </c>
      <c r="Z4" s="23">
        <f>Summary!Q21</f>
        <v>480</v>
      </c>
      <c r="AA4" s="411">
        <f>SUMIF($C$2:$C$67,Y4,$F$2:$F$67)+SUMIF($C$2:$C$67,Y4,$G$2:$G$67)</f>
        <v>-452</v>
      </c>
      <c r="AB4" s="26">
        <f t="shared" ref="AB4:AB21" si="0">Z4+AA4</f>
        <v>28</v>
      </c>
      <c r="AD4" s="343"/>
      <c r="AE4" s="19"/>
      <c r="AF4" s="410"/>
    </row>
    <row r="5" spans="1:33" s="342" customFormat="1">
      <c r="A5" s="340">
        <v>46082</v>
      </c>
      <c r="B5" s="341" t="s">
        <v>140</v>
      </c>
      <c r="C5" s="591" t="s">
        <v>12</v>
      </c>
      <c r="D5" s="377"/>
      <c r="E5" s="377">
        <v>-265</v>
      </c>
      <c r="F5" s="378"/>
      <c r="G5" s="379"/>
      <c r="H5" s="377"/>
      <c r="I5" s="377"/>
      <c r="J5" s="377"/>
      <c r="K5" s="377"/>
      <c r="L5" s="377"/>
      <c r="M5" s="377"/>
      <c r="N5" s="377"/>
      <c r="O5" s="377"/>
      <c r="P5" s="378"/>
      <c r="Q5" s="377"/>
      <c r="R5" s="377"/>
      <c r="S5" s="377"/>
      <c r="T5" s="377"/>
      <c r="U5" s="377"/>
      <c r="V5" s="377"/>
      <c r="W5" s="583"/>
      <c r="Y5" s="343" t="s">
        <v>9</v>
      </c>
      <c r="Z5" s="23">
        <f>Summary!Q22</f>
        <v>335</v>
      </c>
      <c r="AA5" s="411">
        <f>SUMIF($C$2:$C$67,Y5,$F$2:$F$67)+SUMIF($C$2:$C$67,Y5,$G$2:$G$67)</f>
        <v>-342</v>
      </c>
      <c r="AB5" s="26">
        <f t="shared" si="0"/>
        <v>-7</v>
      </c>
      <c r="AD5" s="390" t="s">
        <v>128</v>
      </c>
      <c r="AE5" s="19"/>
      <c r="AF5" s="344"/>
    </row>
    <row r="6" spans="1:33" s="342" customFormat="1">
      <c r="A6" s="340">
        <v>46082</v>
      </c>
      <c r="B6" s="341" t="s">
        <v>24</v>
      </c>
      <c r="C6" s="591" t="s">
        <v>24</v>
      </c>
      <c r="D6" s="377"/>
      <c r="E6" s="377">
        <v>-500</v>
      </c>
      <c r="F6" s="378"/>
      <c r="G6" s="379"/>
      <c r="H6" s="377"/>
      <c r="I6" s="377"/>
      <c r="J6" s="377"/>
      <c r="K6" s="377"/>
      <c r="L6" s="377"/>
      <c r="M6" s="377"/>
      <c r="N6" s="377"/>
      <c r="O6" s="377"/>
      <c r="P6" s="378"/>
      <c r="Q6" s="377"/>
      <c r="R6" s="377"/>
      <c r="S6" s="377"/>
      <c r="T6" s="377"/>
      <c r="U6" s="377"/>
      <c r="V6" s="377"/>
      <c r="W6" s="583"/>
      <c r="Y6" s="343" t="s">
        <v>10</v>
      </c>
      <c r="Z6" s="23">
        <f>Summary!Q23</f>
        <v>20</v>
      </c>
      <c r="AA6" s="411">
        <f>SUMIF($C$2:$C$67,Y6,$F$2:$F$67)+SUMIF($C$2:$C$67,Y6,$G$2:$G$67)</f>
        <v>0</v>
      </c>
      <c r="AB6" s="26">
        <f t="shared" si="0"/>
        <v>20</v>
      </c>
      <c r="AD6" s="343" t="s">
        <v>49</v>
      </c>
      <c r="AE6" s="22"/>
      <c r="AF6" s="344"/>
    </row>
    <row r="7" spans="1:33" s="342" customFormat="1">
      <c r="A7" s="340">
        <v>46082</v>
      </c>
      <c r="B7" s="341" t="s">
        <v>22</v>
      </c>
      <c r="C7" s="591" t="s">
        <v>22</v>
      </c>
      <c r="D7" s="377"/>
      <c r="E7" s="377">
        <v>-4250</v>
      </c>
      <c r="F7" s="378"/>
      <c r="G7" s="379"/>
      <c r="H7" s="377"/>
      <c r="I7" s="377"/>
      <c r="J7" s="377"/>
      <c r="K7" s="377"/>
      <c r="L7" s="377"/>
      <c r="M7" s="377"/>
      <c r="N7" s="377"/>
      <c r="O7" s="379"/>
      <c r="P7" s="378"/>
      <c r="Q7" s="377"/>
      <c r="R7" s="377"/>
      <c r="S7" s="377"/>
      <c r="T7" s="377"/>
      <c r="U7" s="377"/>
      <c r="V7" s="377"/>
      <c r="W7" s="583"/>
      <c r="Y7" s="345" t="s">
        <v>11</v>
      </c>
      <c r="Z7" s="23">
        <f>Summary!Q24</f>
        <v>20</v>
      </c>
      <c r="AA7" s="411">
        <f>SUMIF($C$2:$C$67,Y7,$F$2:$F$67)+SUMIF($C$2:$C$67,Y7,$G$2:$G$67)</f>
        <v>-450</v>
      </c>
      <c r="AB7" s="26">
        <f t="shared" si="0"/>
        <v>-430</v>
      </c>
      <c r="AD7" s="343" t="s">
        <v>111</v>
      </c>
      <c r="AE7" s="22"/>
      <c r="AF7" s="344"/>
    </row>
    <row r="8" spans="1:33" s="342" customFormat="1">
      <c r="A8" s="340">
        <v>46082</v>
      </c>
      <c r="B8" s="341" t="s">
        <v>22</v>
      </c>
      <c r="C8" s="591" t="s">
        <v>22</v>
      </c>
      <c r="D8" s="377"/>
      <c r="E8" s="377">
        <v>3800</v>
      </c>
      <c r="F8" s="378"/>
      <c r="G8" s="377"/>
      <c r="H8" s="414"/>
      <c r="I8" s="377"/>
      <c r="J8" s="377"/>
      <c r="K8" s="377"/>
      <c r="L8" s="377"/>
      <c r="M8" s="377"/>
      <c r="N8" s="377"/>
      <c r="O8" s="415"/>
      <c r="P8" s="377"/>
      <c r="Q8" s="377"/>
      <c r="R8" s="377"/>
      <c r="S8" s="377"/>
      <c r="T8" s="377"/>
      <c r="U8" s="377"/>
      <c r="V8" s="377"/>
      <c r="W8" s="583"/>
      <c r="Y8" s="343" t="s">
        <v>12</v>
      </c>
      <c r="Z8" s="23">
        <f>Summary!Q25</f>
        <v>700</v>
      </c>
      <c r="AA8" s="411">
        <f>SUMIF($C$2:$C$67,Y8,$F$2:$F$67)+SUMIF($C$2:$C$67,Y8,$G$2:$G$67)+E5+E47+E59+E60</f>
        <v>-694.97</v>
      </c>
      <c r="AB8" s="26">
        <f t="shared" si="0"/>
        <v>5.0299999999999727</v>
      </c>
      <c r="AD8" s="343" t="s">
        <v>121</v>
      </c>
      <c r="AE8" s="23">
        <f>R39</f>
        <v>300</v>
      </c>
      <c r="AF8" s="344"/>
    </row>
    <row r="9" spans="1:33" s="342" customFormat="1">
      <c r="A9" s="340">
        <v>46082</v>
      </c>
      <c r="B9" s="341" t="s">
        <v>28</v>
      </c>
      <c r="C9" s="22" t="s">
        <v>141</v>
      </c>
      <c r="D9" s="378"/>
      <c r="E9" s="377">
        <v>-880</v>
      </c>
      <c r="F9" s="378"/>
      <c r="G9" s="379"/>
      <c r="H9" s="377"/>
      <c r="I9" s="377"/>
      <c r="J9" s="377"/>
      <c r="K9" s="377"/>
      <c r="L9" s="377"/>
      <c r="M9" s="377"/>
      <c r="N9" s="377"/>
      <c r="O9" s="377"/>
      <c r="P9" s="378"/>
      <c r="Q9" s="377"/>
      <c r="R9" s="377"/>
      <c r="S9" s="377"/>
      <c r="T9" s="377"/>
      <c r="U9" s="377"/>
      <c r="V9" s="596"/>
      <c r="W9" s="583"/>
      <c r="Y9" s="343" t="s">
        <v>13</v>
      </c>
      <c r="Z9" s="23">
        <f>Summary!Q26</f>
        <v>1300</v>
      </c>
      <c r="AA9" s="411">
        <f>SUMIF($C$2:$C$67,Y9,$F$2:$F$67)+SUMIF($C$2:$C$67,Y9,$G$2:$G$67)</f>
        <v>-1959</v>
      </c>
      <c r="AB9" s="26">
        <f t="shared" si="0"/>
        <v>-659</v>
      </c>
      <c r="AD9" s="343" t="s">
        <v>53</v>
      </c>
      <c r="AE9" s="22"/>
      <c r="AF9" s="344"/>
    </row>
    <row r="10" spans="1:33" s="342" customFormat="1">
      <c r="A10" s="340">
        <v>46082</v>
      </c>
      <c r="B10" s="341" t="s">
        <v>20</v>
      </c>
      <c r="C10" s="22" t="s">
        <v>20</v>
      </c>
      <c r="D10" s="378"/>
      <c r="E10" s="377">
        <v>-160</v>
      </c>
      <c r="F10" s="378"/>
      <c r="G10" s="379"/>
      <c r="H10" s="377"/>
      <c r="I10" s="377"/>
      <c r="J10" s="377"/>
      <c r="K10" s="377"/>
      <c r="L10" s="377"/>
      <c r="M10" s="377"/>
      <c r="N10" s="377"/>
      <c r="O10" s="377"/>
      <c r="P10" s="378"/>
      <c r="Q10" s="377"/>
      <c r="R10" s="377"/>
      <c r="S10" s="377"/>
      <c r="T10" s="377"/>
      <c r="U10" s="377"/>
      <c r="V10" s="377"/>
      <c r="W10" s="583"/>
      <c r="Y10" s="343" t="s">
        <v>14</v>
      </c>
      <c r="Z10" s="23">
        <f>Summary!Q27</f>
        <v>150</v>
      </c>
      <c r="AA10" s="411">
        <f>SUMIF($C$2:$C$67,Y10,$F$2:$F$67)+SUMIF($C$2:$C$67,Y10,$G$2:$G$67)</f>
        <v>-853</v>
      </c>
      <c r="AB10" s="26">
        <f t="shared" si="0"/>
        <v>-703</v>
      </c>
      <c r="AD10" s="343" t="s">
        <v>124</v>
      </c>
      <c r="AE10" s="22"/>
      <c r="AF10" s="344"/>
    </row>
    <row r="11" spans="1:33" s="342" customFormat="1">
      <c r="A11" s="340">
        <v>46083</v>
      </c>
      <c r="B11" s="341" t="s">
        <v>17</v>
      </c>
      <c r="C11" s="22" t="s">
        <v>17</v>
      </c>
      <c r="D11" s="378"/>
      <c r="E11" s="379"/>
      <c r="F11" s="378">
        <v>-100</v>
      </c>
      <c r="G11" s="379">
        <f>-100-60</f>
        <v>-160</v>
      </c>
      <c r="H11" s="377"/>
      <c r="I11" s="377"/>
      <c r="J11" s="377"/>
      <c r="K11" s="377"/>
      <c r="L11" s="377"/>
      <c r="M11" s="377"/>
      <c r="N11" s="377"/>
      <c r="O11" s="377"/>
      <c r="P11" s="378"/>
      <c r="Q11" s="377"/>
      <c r="R11" s="377"/>
      <c r="S11" s="377"/>
      <c r="T11" s="377"/>
      <c r="U11" s="377"/>
      <c r="V11" s="377"/>
      <c r="W11" s="583"/>
      <c r="Y11" s="343" t="s">
        <v>15</v>
      </c>
      <c r="Z11" s="23">
        <f>Summary!Q28</f>
        <v>200</v>
      </c>
      <c r="AA11" s="411">
        <f>SUMIF($C$2:$C$67,Y11,$F$2:$F$67)+SUMIF($C$2:$C$67,Y11,$G$2:$G$67)</f>
        <v>-247</v>
      </c>
      <c r="AB11" s="26">
        <f>Z11+AA11</f>
        <v>-47</v>
      </c>
      <c r="AD11" s="390" t="s">
        <v>29</v>
      </c>
      <c r="AE11" s="637">
        <f>SUM(AE6:AE10)</f>
        <v>300</v>
      </c>
      <c r="AF11" s="344"/>
    </row>
    <row r="12" spans="1:33" s="342" customFormat="1">
      <c r="A12" s="340">
        <v>46083</v>
      </c>
      <c r="B12" s="341" t="s">
        <v>13</v>
      </c>
      <c r="C12" s="22" t="s">
        <v>13</v>
      </c>
      <c r="D12" s="378"/>
      <c r="E12" s="379"/>
      <c r="F12" s="378"/>
      <c r="G12" s="379">
        <f>-60-200</f>
        <v>-260</v>
      </c>
      <c r="H12" s="377"/>
      <c r="I12" s="377"/>
      <c r="J12" s="377"/>
      <c r="K12" s="377"/>
      <c r="L12" s="377"/>
      <c r="M12" s="377"/>
      <c r="N12" s="377"/>
      <c r="O12" s="377"/>
      <c r="P12" s="378"/>
      <c r="Q12" s="377"/>
      <c r="R12" s="377"/>
      <c r="S12" s="377"/>
      <c r="T12" s="377"/>
      <c r="U12" s="377"/>
      <c r="V12" s="377"/>
      <c r="W12" s="583"/>
      <c r="Y12" s="343" t="s">
        <v>16</v>
      </c>
      <c r="Z12" s="23">
        <f>Summary!Q29</f>
        <v>200</v>
      </c>
      <c r="AA12" s="411">
        <f>SUMIF($C$2:$C$67,Y12,$F$2:$F$67)+SUMIF($C$2:$C$67,Y12,$G$2:$G$67)+E20</f>
        <v>-915</v>
      </c>
      <c r="AB12" s="26">
        <f>Z12+AA12</f>
        <v>-715</v>
      </c>
      <c r="AD12" s="343"/>
      <c r="AF12" s="344"/>
    </row>
    <row r="13" spans="1:33" s="342" customFormat="1">
      <c r="A13" s="340">
        <v>46083</v>
      </c>
      <c r="B13" s="341" t="s">
        <v>158</v>
      </c>
      <c r="C13" s="22" t="s">
        <v>21</v>
      </c>
      <c r="D13" s="378"/>
      <c r="E13" s="379"/>
      <c r="F13" s="378">
        <v>-306</v>
      </c>
      <c r="G13" s="379"/>
      <c r="H13" s="377"/>
      <c r="I13" s="377"/>
      <c r="J13" s="377"/>
      <c r="K13" s="377"/>
      <c r="L13" s="377"/>
      <c r="M13" s="377"/>
      <c r="N13" s="377"/>
      <c r="O13" s="377"/>
      <c r="P13" s="378"/>
      <c r="Q13" s="377"/>
      <c r="R13" s="377"/>
      <c r="S13" s="377"/>
      <c r="T13" s="377"/>
      <c r="U13" s="377"/>
      <c r="V13" s="377"/>
      <c r="W13" s="583"/>
      <c r="Y13" s="343" t="s">
        <v>17</v>
      </c>
      <c r="Z13" s="23">
        <f>Summary!Q30</f>
        <v>1000</v>
      </c>
      <c r="AA13" s="411">
        <f>SUMIF($C$2:$C$67,Y13,$F$2:$F$67)+SUMIF($C$2:$C$67,Y13,$G$2:$G$67)</f>
        <v>-700</v>
      </c>
      <c r="AB13" s="26">
        <f t="shared" si="0"/>
        <v>300</v>
      </c>
      <c r="AD13" s="343"/>
      <c r="AE13" s="584"/>
      <c r="AF13" s="344"/>
    </row>
    <row r="14" spans="1:33" s="342" customFormat="1">
      <c r="A14" s="340">
        <v>46083</v>
      </c>
      <c r="B14" s="341" t="s">
        <v>144</v>
      </c>
      <c r="C14" s="22" t="s">
        <v>21</v>
      </c>
      <c r="D14" s="378"/>
      <c r="E14" s="379"/>
      <c r="F14" s="378">
        <v>-50</v>
      </c>
      <c r="G14" s="379"/>
      <c r="H14" s="377"/>
      <c r="I14" s="377"/>
      <c r="J14" s="377"/>
      <c r="K14" s="377"/>
      <c r="L14" s="377"/>
      <c r="M14" s="377"/>
      <c r="N14" s="377"/>
      <c r="O14" s="377"/>
      <c r="P14" s="378"/>
      <c r="Q14" s="377"/>
      <c r="R14" s="377"/>
      <c r="S14" s="377"/>
      <c r="T14" s="377"/>
      <c r="U14" s="377"/>
      <c r="V14" s="377"/>
      <c r="W14" s="583"/>
      <c r="Y14" s="343" t="s">
        <v>18</v>
      </c>
      <c r="Z14" s="23">
        <f>Summary!Q31</f>
        <v>100</v>
      </c>
      <c r="AA14" s="411">
        <f>SUMIF($C$2:$C$67,Y14,$F$2:$F$67)+SUMIF($C$2:$C$67,Y14,$G$2:$G$67)</f>
        <v>0</v>
      </c>
      <c r="AB14" s="26">
        <f t="shared" si="0"/>
        <v>100</v>
      </c>
      <c r="AD14" s="390" t="s">
        <v>132</v>
      </c>
      <c r="AE14" s="19"/>
      <c r="AF14" s="344"/>
    </row>
    <row r="15" spans="1:33" s="342" customFormat="1">
      <c r="A15" s="340">
        <v>46083</v>
      </c>
      <c r="B15" s="341" t="s">
        <v>14</v>
      </c>
      <c r="C15" s="22" t="s">
        <v>14</v>
      </c>
      <c r="D15" s="378"/>
      <c r="E15" s="379"/>
      <c r="F15" s="378">
        <f>-20-204</f>
        <v>-224</v>
      </c>
      <c r="G15" s="379"/>
      <c r="H15" s="377"/>
      <c r="I15" s="377"/>
      <c r="J15" s="377"/>
      <c r="K15" s="377"/>
      <c r="L15" s="377"/>
      <c r="M15" s="377"/>
      <c r="N15" s="377"/>
      <c r="O15" s="379"/>
      <c r="P15" s="378"/>
      <c r="Q15" s="377"/>
      <c r="R15" s="377"/>
      <c r="S15" s="377"/>
      <c r="T15" s="377"/>
      <c r="U15" s="377"/>
      <c r="V15" s="377"/>
      <c r="W15" s="583"/>
      <c r="Y15" s="343" t="s">
        <v>19</v>
      </c>
      <c r="Z15" s="23">
        <f>Summary!Q32</f>
        <v>0</v>
      </c>
      <c r="AA15" s="411">
        <f>SUMIF($C$2:$C$67,Y15,$F$2:$F$67)+SUMIF($C$2:$C$67,Y15,$G$2:$G$67)</f>
        <v>0</v>
      </c>
      <c r="AB15" s="26">
        <f t="shared" si="0"/>
        <v>0</v>
      </c>
      <c r="AD15" s="343" t="s">
        <v>49</v>
      </c>
      <c r="AE15" s="23"/>
      <c r="AF15" s="344"/>
    </row>
    <row r="16" spans="1:33" s="342" customFormat="1">
      <c r="A16" s="340">
        <v>46083</v>
      </c>
      <c r="B16" s="341" t="s">
        <v>160</v>
      </c>
      <c r="C16" s="22" t="s">
        <v>21</v>
      </c>
      <c r="D16" s="378"/>
      <c r="E16" s="379"/>
      <c r="F16" s="378">
        <v>-50</v>
      </c>
      <c r="G16" s="379"/>
      <c r="H16" s="377"/>
      <c r="I16" s="377"/>
      <c r="J16" s="377"/>
      <c r="K16" s="377"/>
      <c r="L16" s="377"/>
      <c r="M16" s="377"/>
      <c r="N16" s="377"/>
      <c r="O16" s="379"/>
      <c r="P16" s="378"/>
      <c r="Q16" s="377"/>
      <c r="R16" s="377"/>
      <c r="S16" s="377"/>
      <c r="T16" s="377"/>
      <c r="U16" s="377"/>
      <c r="V16" s="377"/>
      <c r="W16" s="583"/>
      <c r="Y16" s="343" t="s">
        <v>20</v>
      </c>
      <c r="Z16" s="23">
        <f>Summary!Q33</f>
        <v>500</v>
      </c>
      <c r="AA16" s="411">
        <f>SUMIF($C$2:$C$67,Y16,$F$2:$F$67)+SUMIF($C$2:$C$67,Y16,$G$2:$G$67)+E10</f>
        <v>-457</v>
      </c>
      <c r="AB16" s="26">
        <f t="shared" si="0"/>
        <v>43</v>
      </c>
      <c r="AD16" s="343" t="s">
        <v>111</v>
      </c>
      <c r="AE16" s="23"/>
      <c r="AF16" s="344"/>
    </row>
    <row r="17" spans="1:33" s="342" customFormat="1">
      <c r="A17" s="340">
        <v>46083</v>
      </c>
      <c r="B17" s="341" t="s">
        <v>146</v>
      </c>
      <c r="C17" s="22" t="s">
        <v>21</v>
      </c>
      <c r="D17" s="378"/>
      <c r="E17" s="379">
        <f>-50-11</f>
        <v>-61</v>
      </c>
      <c r="F17" s="378"/>
      <c r="G17" s="379"/>
      <c r="H17" s="377"/>
      <c r="I17" s="377"/>
      <c r="J17" s="377"/>
      <c r="K17" s="377"/>
      <c r="L17" s="377"/>
      <c r="M17" s="377"/>
      <c r="N17" s="377"/>
      <c r="O17" s="379"/>
      <c r="P17" s="378"/>
      <c r="Q17" s="377"/>
      <c r="R17" s="377"/>
      <c r="S17" s="377"/>
      <c r="T17" s="377"/>
      <c r="U17" s="377"/>
      <c r="V17" s="377"/>
      <c r="W17" s="583"/>
      <c r="Y17" s="343" t="s">
        <v>21</v>
      </c>
      <c r="Z17" s="23">
        <f>Summary!Q34</f>
        <v>800</v>
      </c>
      <c r="AA17" s="411">
        <f>SUMIF($C$2:$C$67,Y17,$F$2:$F$67)+SUMIF($C$2:$C$67,Y17,$G$2:$G$67)+E17</f>
        <v>-917</v>
      </c>
      <c r="AB17" s="26">
        <f t="shared" si="0"/>
        <v>-117</v>
      </c>
      <c r="AD17" s="343" t="s">
        <v>121</v>
      </c>
      <c r="AE17" s="23"/>
      <c r="AF17" s="344"/>
    </row>
    <row r="18" spans="1:33" s="342" customFormat="1">
      <c r="A18" s="340">
        <v>46083</v>
      </c>
      <c r="B18" s="369" t="s">
        <v>13</v>
      </c>
      <c r="C18" s="22" t="s">
        <v>13</v>
      </c>
      <c r="D18" s="378"/>
      <c r="E18" s="379"/>
      <c r="F18" s="378">
        <f>-30-17-160</f>
        <v>-207</v>
      </c>
      <c r="G18" s="379">
        <f>-26-49-11-56</f>
        <v>-142</v>
      </c>
      <c r="H18" s="377"/>
      <c r="I18" s="377"/>
      <c r="J18" s="377"/>
      <c r="K18" s="377"/>
      <c r="L18" s="377"/>
      <c r="M18" s="377"/>
      <c r="N18" s="377"/>
      <c r="O18" s="379"/>
      <c r="P18" s="378"/>
      <c r="Q18" s="377"/>
      <c r="R18" s="377"/>
      <c r="S18" s="377"/>
      <c r="T18" s="377"/>
      <c r="U18" s="377"/>
      <c r="V18" s="377"/>
      <c r="W18" s="583"/>
      <c r="Y18" s="343" t="s">
        <v>22</v>
      </c>
      <c r="Z18" s="23">
        <f>Summary!Q35</f>
        <v>4100</v>
      </c>
      <c r="AA18" s="411">
        <f>SUMIF($C$2:$C$67,Y18,$F$2:$F$67)+SUMIF($C$2:$C$67,Y18,$G$2:$G$67)+E4+E7+E8</f>
        <v>-4138</v>
      </c>
      <c r="AB18" s="26">
        <f t="shared" si="0"/>
        <v>-38</v>
      </c>
      <c r="AD18" s="343" t="s">
        <v>53</v>
      </c>
      <c r="AE18" s="23"/>
      <c r="AF18" s="344"/>
    </row>
    <row r="19" spans="1:33" s="342" customFormat="1">
      <c r="A19" s="340">
        <v>46084</v>
      </c>
      <c r="B19" s="369" t="s">
        <v>26</v>
      </c>
      <c r="C19" s="22" t="s">
        <v>26</v>
      </c>
      <c r="D19" s="378"/>
      <c r="E19" s="379"/>
      <c r="F19" s="378">
        <v>-24</v>
      </c>
      <c r="G19" s="379"/>
      <c r="H19" s="377"/>
      <c r="I19" s="377"/>
      <c r="J19" s="377"/>
      <c r="K19" s="377"/>
      <c r="L19" s="377"/>
      <c r="M19" s="377"/>
      <c r="N19" s="377"/>
      <c r="O19" s="379"/>
      <c r="P19" s="378"/>
      <c r="Q19" s="377"/>
      <c r="R19" s="377"/>
      <c r="S19" s="377"/>
      <c r="T19" s="377"/>
      <c r="U19" s="377"/>
      <c r="V19" s="377"/>
      <c r="W19" s="583"/>
      <c r="Y19" s="343" t="s">
        <v>23</v>
      </c>
      <c r="Z19" s="23">
        <f>Summary!Q36</f>
        <v>1800</v>
      </c>
      <c r="AA19" s="411">
        <f>SUMIF($C$2:$C$67,Y19,$F$2:$F$67)+SUMIF($C$2:$C$67,Y19,$G$2:$G$67)</f>
        <v>-2709</v>
      </c>
      <c r="AB19" s="26">
        <f t="shared" si="0"/>
        <v>-909</v>
      </c>
      <c r="AD19" s="343" t="s">
        <v>124</v>
      </c>
      <c r="AE19" s="23"/>
      <c r="AF19" s="344"/>
    </row>
    <row r="20" spans="1:33" s="342" customFormat="1">
      <c r="A20" s="340">
        <v>46085</v>
      </c>
      <c r="B20" s="341" t="s">
        <v>16</v>
      </c>
      <c r="C20" s="22" t="s">
        <v>16</v>
      </c>
      <c r="D20" s="378"/>
      <c r="E20" s="379">
        <v>-175</v>
      </c>
      <c r="F20" s="378">
        <v>-200</v>
      </c>
      <c r="G20" s="379"/>
      <c r="H20" s="377"/>
      <c r="I20" s="377"/>
      <c r="J20" s="377"/>
      <c r="K20" s="377"/>
      <c r="L20" s="377"/>
      <c r="M20" s="377"/>
      <c r="N20" s="377"/>
      <c r="O20" s="379"/>
      <c r="P20" s="378"/>
      <c r="Q20" s="377"/>
      <c r="R20" s="377"/>
      <c r="S20" s="377"/>
      <c r="T20" s="377"/>
      <c r="U20" s="377"/>
      <c r="V20" s="377"/>
      <c r="W20" s="583"/>
      <c r="Y20" s="343" t="s">
        <v>24</v>
      </c>
      <c r="Z20" s="23">
        <f>Summary!Q37</f>
        <v>500</v>
      </c>
      <c r="AA20" s="411">
        <f>SUMIF($C$2:$C$67,Y20,$F$2:$F$67)+SUMIF($C$2:$C$67,Y20,$G$2:$G$67)+E6</f>
        <v>-500</v>
      </c>
      <c r="AB20" s="26">
        <f t="shared" si="0"/>
        <v>0</v>
      </c>
      <c r="AD20" s="343" t="s">
        <v>133</v>
      </c>
      <c r="AE20" s="104">
        <f>W68</f>
        <v>474.72</v>
      </c>
      <c r="AF20" s="344"/>
    </row>
    <row r="21" spans="1:33" s="342" customFormat="1">
      <c r="A21" s="340">
        <v>46086</v>
      </c>
      <c r="B21" s="341" t="s">
        <v>17</v>
      </c>
      <c r="C21" s="22" t="s">
        <v>17</v>
      </c>
      <c r="D21" s="378"/>
      <c r="E21" s="379"/>
      <c r="F21" s="378">
        <v>-40</v>
      </c>
      <c r="G21" s="379">
        <v>-44</v>
      </c>
      <c r="H21" s="377"/>
      <c r="I21" s="377"/>
      <c r="J21" s="377"/>
      <c r="K21" s="377"/>
      <c r="L21" s="377"/>
      <c r="M21" s="377"/>
      <c r="N21" s="377"/>
      <c r="O21" s="379"/>
      <c r="P21" s="378"/>
      <c r="Q21" s="377"/>
      <c r="R21" s="377"/>
      <c r="S21" s="377"/>
      <c r="T21" s="377"/>
      <c r="U21" s="377"/>
      <c r="V21" s="377"/>
      <c r="W21" s="583"/>
      <c r="Y21" s="343" t="s">
        <v>25</v>
      </c>
      <c r="Z21" s="23">
        <f>Summary!Q38</f>
        <v>250</v>
      </c>
      <c r="AA21" s="411">
        <f>SUMIF($C$2:$C$67,Y21,$F$2:$F$67)+SUMIF($C$2:$C$67,Y21,$G$2:$G$67)</f>
        <v>0</v>
      </c>
      <c r="AB21" s="26">
        <f t="shared" si="0"/>
        <v>250</v>
      </c>
      <c r="AD21" s="390" t="s">
        <v>29</v>
      </c>
      <c r="AE21" s="637">
        <f>SUM(AE15:AE20)</f>
        <v>474.72</v>
      </c>
      <c r="AF21" s="344"/>
    </row>
    <row r="22" spans="1:33" s="342" customFormat="1">
      <c r="A22" s="340">
        <v>46086</v>
      </c>
      <c r="B22" s="341" t="s">
        <v>11</v>
      </c>
      <c r="C22" s="22" t="s">
        <v>11</v>
      </c>
      <c r="D22" s="378"/>
      <c r="E22" s="379"/>
      <c r="F22" s="378">
        <v>-100</v>
      </c>
      <c r="G22" s="379">
        <v>-150</v>
      </c>
      <c r="H22" s="377"/>
      <c r="I22" s="377"/>
      <c r="J22" s="377"/>
      <c r="K22" s="377"/>
      <c r="L22" s="377"/>
      <c r="M22" s="377"/>
      <c r="N22" s="377"/>
      <c r="O22" s="379"/>
      <c r="P22" s="378"/>
      <c r="Q22" s="377"/>
      <c r="R22" s="377"/>
      <c r="S22" s="377"/>
      <c r="T22" s="377"/>
      <c r="U22" s="377"/>
      <c r="V22" s="377"/>
      <c r="W22" s="583"/>
      <c r="Y22" s="343" t="s">
        <v>26</v>
      </c>
      <c r="Z22" s="23">
        <f>Summary!Q39</f>
        <v>200</v>
      </c>
      <c r="AA22" s="411">
        <f>SUMIF($C$2:$C$67,Y22,$F$2:$F$67)+SUMIF($C$2:$C$67,Y22,$G$2:$G$67)</f>
        <v>-24</v>
      </c>
      <c r="AB22" s="26">
        <f>Z22+AA22</f>
        <v>176</v>
      </c>
      <c r="AD22" s="343"/>
      <c r="AE22" s="584"/>
      <c r="AF22" s="344"/>
    </row>
    <row r="23" spans="1:33" s="342" customFormat="1">
      <c r="A23" s="340">
        <v>46090</v>
      </c>
      <c r="B23" s="341" t="s">
        <v>170</v>
      </c>
      <c r="C23" s="22" t="s">
        <v>170</v>
      </c>
      <c r="D23" s="378"/>
      <c r="E23" s="379">
        <v>5000</v>
      </c>
      <c r="F23" s="378"/>
      <c r="G23" s="379"/>
      <c r="H23" s="377"/>
      <c r="I23" s="377"/>
      <c r="J23" s="377"/>
      <c r="K23" s="377"/>
      <c r="L23" s="377"/>
      <c r="M23" s="377"/>
      <c r="N23" s="377"/>
      <c r="O23" s="379"/>
      <c r="P23" s="378"/>
      <c r="Q23" s="377"/>
      <c r="R23" s="377"/>
      <c r="S23" s="377"/>
      <c r="T23" s="377"/>
      <c r="U23" s="377"/>
      <c r="V23" s="377"/>
      <c r="W23" s="583"/>
      <c r="Y23" s="343" t="s">
        <v>27</v>
      </c>
      <c r="Z23" s="23">
        <f>Summary!Q40</f>
        <v>0</v>
      </c>
      <c r="AA23" s="411">
        <f>SUMIF($C$2:$C$67,Y23,$F$2:$F$67)+SUMIF($C$2:$C$67,Y23,$G$2:$G$67)</f>
        <v>-400</v>
      </c>
      <c r="AB23" s="26">
        <f>Z23+AA23</f>
        <v>-400</v>
      </c>
      <c r="AD23" s="343"/>
      <c r="AF23" s="344"/>
      <c r="AG23" s="343"/>
    </row>
    <row r="24" spans="1:33" s="342" customFormat="1">
      <c r="A24" s="340">
        <v>46090</v>
      </c>
      <c r="B24" s="341" t="s">
        <v>147</v>
      </c>
      <c r="C24" s="22" t="s">
        <v>8</v>
      </c>
      <c r="D24" s="378"/>
      <c r="E24" s="379"/>
      <c r="F24" s="378">
        <v>-43</v>
      </c>
      <c r="G24" s="379"/>
      <c r="H24" s="377"/>
      <c r="I24" s="377"/>
      <c r="J24" s="377"/>
      <c r="K24" s="377"/>
      <c r="L24" s="377"/>
      <c r="M24" s="377"/>
      <c r="N24" s="377"/>
      <c r="O24" s="379"/>
      <c r="P24" s="378"/>
      <c r="Q24" s="377"/>
      <c r="R24" s="377"/>
      <c r="S24" s="377"/>
      <c r="T24" s="377"/>
      <c r="U24" s="377"/>
      <c r="V24" s="377"/>
      <c r="W24" s="583"/>
      <c r="Y24" s="343" t="s">
        <v>28</v>
      </c>
      <c r="Z24" s="23">
        <f>Summary!Q41</f>
        <v>900</v>
      </c>
      <c r="AA24" s="411">
        <f>SUMIF($C$2:$C$67,Y24,$F$2:$F$67)+SUMIF($C$2:$C$67,Y24,$G$2:$G$67)+E9</f>
        <v>-880</v>
      </c>
      <c r="AB24" s="26">
        <f>Z24+AA24</f>
        <v>20</v>
      </c>
      <c r="AD24" s="370"/>
      <c r="AE24" s="371"/>
      <c r="AF24" s="372"/>
    </row>
    <row r="25" spans="1:33" s="342" customFormat="1">
      <c r="A25" s="340">
        <v>46091</v>
      </c>
      <c r="B25" s="341" t="s">
        <v>165</v>
      </c>
      <c r="C25" s="22" t="s">
        <v>21</v>
      </c>
      <c r="D25" s="378"/>
      <c r="E25" s="379"/>
      <c r="F25" s="378">
        <v>-51</v>
      </c>
      <c r="G25" s="379"/>
      <c r="H25" s="377"/>
      <c r="I25" s="377"/>
      <c r="J25" s="377"/>
      <c r="K25" s="377"/>
      <c r="L25" s="377"/>
      <c r="M25" s="377"/>
      <c r="N25" s="377"/>
      <c r="O25" s="379"/>
      <c r="P25" s="378"/>
      <c r="Q25" s="377"/>
      <c r="R25" s="377"/>
      <c r="S25" s="377"/>
      <c r="T25" s="377"/>
      <c r="U25" s="377"/>
      <c r="V25" s="377"/>
      <c r="W25" s="583"/>
      <c r="Y25" s="343"/>
      <c r="Z25" s="23"/>
      <c r="AA25" s="411"/>
      <c r="AB25" s="26"/>
      <c r="AD25" s="370"/>
      <c r="AE25" s="371"/>
      <c r="AF25" s="372"/>
    </row>
    <row r="26" spans="1:33" s="342" customFormat="1">
      <c r="A26" s="340">
        <v>46092</v>
      </c>
      <c r="B26" s="341" t="s">
        <v>17</v>
      </c>
      <c r="C26" s="22" t="s">
        <v>17</v>
      </c>
      <c r="D26" s="378"/>
      <c r="E26" s="379"/>
      <c r="F26" s="378"/>
      <c r="G26" s="379">
        <v>-56</v>
      </c>
      <c r="H26" s="377"/>
      <c r="I26" s="377"/>
      <c r="J26" s="377"/>
      <c r="K26" s="377"/>
      <c r="L26" s="377"/>
      <c r="M26" s="377"/>
      <c r="N26" s="377"/>
      <c r="O26" s="379"/>
      <c r="P26" s="378"/>
      <c r="Q26" s="377"/>
      <c r="R26" s="377"/>
      <c r="S26" s="377"/>
      <c r="T26" s="377"/>
      <c r="U26" s="377"/>
      <c r="V26" s="377"/>
      <c r="W26" s="583"/>
      <c r="Y26" s="343"/>
      <c r="Z26" s="23"/>
      <c r="AA26" s="411"/>
      <c r="AB26" s="26"/>
      <c r="AD26" s="370"/>
      <c r="AE26" s="371"/>
      <c r="AF26" s="372"/>
    </row>
    <row r="27" spans="1:33" s="342" customFormat="1">
      <c r="A27" s="340">
        <v>46092</v>
      </c>
      <c r="B27" s="341" t="s">
        <v>164</v>
      </c>
      <c r="C27" s="22" t="s">
        <v>21</v>
      </c>
      <c r="D27" s="378"/>
      <c r="E27" s="379"/>
      <c r="F27" s="378">
        <v>-93</v>
      </c>
      <c r="G27" s="379"/>
      <c r="H27" s="377"/>
      <c r="I27" s="377"/>
      <c r="J27" s="377"/>
      <c r="K27" s="377"/>
      <c r="L27" s="377"/>
      <c r="M27" s="377"/>
      <c r="N27" s="377"/>
      <c r="O27" s="379"/>
      <c r="P27" s="378"/>
      <c r="Q27" s="377"/>
      <c r="R27" s="377"/>
      <c r="S27" s="377"/>
      <c r="T27" s="377"/>
      <c r="U27" s="377"/>
      <c r="V27" s="377"/>
      <c r="W27" s="583"/>
      <c r="Y27" s="343"/>
      <c r="Z27" s="23"/>
      <c r="AA27" s="411"/>
      <c r="AB27" s="26"/>
      <c r="AD27" s="370"/>
      <c r="AE27" s="371"/>
      <c r="AF27" s="372"/>
    </row>
    <row r="28" spans="1:33" s="342" customFormat="1">
      <c r="A28" s="340">
        <v>46092</v>
      </c>
      <c r="B28" s="341" t="s">
        <v>192</v>
      </c>
      <c r="C28" s="22" t="s">
        <v>8</v>
      </c>
      <c r="D28" s="378"/>
      <c r="E28" s="379"/>
      <c r="F28" s="378">
        <v>-65</v>
      </c>
      <c r="G28" s="379"/>
      <c r="H28" s="377"/>
      <c r="I28" s="377"/>
      <c r="J28" s="377"/>
      <c r="K28" s="377"/>
      <c r="L28" s="377"/>
      <c r="M28" s="377"/>
      <c r="N28" s="377"/>
      <c r="O28" s="379"/>
      <c r="P28" s="378"/>
      <c r="Q28" s="377"/>
      <c r="R28" s="377"/>
      <c r="S28" s="377"/>
      <c r="T28" s="377"/>
      <c r="U28" s="377"/>
      <c r="V28" s="377"/>
      <c r="W28" s="583"/>
      <c r="Y28" s="343"/>
      <c r="Z28" s="23"/>
      <c r="AA28" s="411"/>
      <c r="AB28" s="26"/>
      <c r="AD28" s="370"/>
      <c r="AE28" s="371"/>
      <c r="AF28" s="372"/>
    </row>
    <row r="29" spans="1:33" s="342" customFormat="1">
      <c r="A29" s="340">
        <v>46093</v>
      </c>
      <c r="B29" s="341" t="s">
        <v>193</v>
      </c>
      <c r="C29" s="22" t="s">
        <v>15</v>
      </c>
      <c r="D29" s="378"/>
      <c r="E29" s="379"/>
      <c r="F29" s="378">
        <v>-125</v>
      </c>
      <c r="G29" s="379"/>
      <c r="H29" s="377"/>
      <c r="I29" s="377"/>
      <c r="J29" s="377"/>
      <c r="K29" s="377"/>
      <c r="L29" s="377"/>
      <c r="M29" s="377"/>
      <c r="N29" s="377"/>
      <c r="O29" s="379"/>
      <c r="P29" s="378"/>
      <c r="Q29" s="377"/>
      <c r="R29" s="377"/>
      <c r="S29" s="377"/>
      <c r="T29" s="377"/>
      <c r="U29" s="377"/>
      <c r="V29" s="377"/>
      <c r="W29" s="583"/>
      <c r="Y29" s="343"/>
      <c r="Z29" s="23"/>
      <c r="AA29" s="411"/>
      <c r="AB29" s="26"/>
      <c r="AD29" s="370"/>
      <c r="AE29" s="371"/>
      <c r="AF29" s="372"/>
    </row>
    <row r="30" spans="1:33" s="342" customFormat="1">
      <c r="A30" s="340">
        <v>46093</v>
      </c>
      <c r="B30" s="341" t="s">
        <v>27</v>
      </c>
      <c r="C30" s="22" t="s">
        <v>27</v>
      </c>
      <c r="D30" s="378"/>
      <c r="E30" s="379"/>
      <c r="F30" s="378"/>
      <c r="G30" s="379">
        <v>-400</v>
      </c>
      <c r="H30" s="377"/>
      <c r="I30" s="377"/>
      <c r="J30" s="377"/>
      <c r="K30" s="377"/>
      <c r="L30" s="377"/>
      <c r="M30" s="377"/>
      <c r="N30" s="377"/>
      <c r="O30" s="379"/>
      <c r="P30" s="378"/>
      <c r="Q30" s="377"/>
      <c r="R30" s="377"/>
      <c r="S30" s="377"/>
      <c r="T30" s="377"/>
      <c r="U30" s="377"/>
      <c r="V30" s="377"/>
      <c r="W30" s="583"/>
      <c r="Y30" s="343"/>
      <c r="Z30" s="23"/>
      <c r="AA30" s="411"/>
      <c r="AB30" s="26"/>
      <c r="AD30" s="370"/>
      <c r="AE30" s="371"/>
      <c r="AF30" s="372"/>
    </row>
    <row r="31" spans="1:33" s="342" customFormat="1">
      <c r="A31" s="340">
        <v>46093</v>
      </c>
      <c r="B31" s="341" t="s">
        <v>13</v>
      </c>
      <c r="C31" s="22" t="s">
        <v>13</v>
      </c>
      <c r="D31" s="378"/>
      <c r="E31" s="379"/>
      <c r="F31" s="378"/>
      <c r="G31" s="379">
        <f>-38-82</f>
        <v>-120</v>
      </c>
      <c r="H31" s="377"/>
      <c r="I31" s="377"/>
      <c r="J31" s="377"/>
      <c r="K31" s="377"/>
      <c r="L31" s="377"/>
      <c r="M31" s="377"/>
      <c r="N31" s="377"/>
      <c r="O31" s="379"/>
      <c r="P31" s="378"/>
      <c r="Q31" s="377"/>
      <c r="R31" s="377"/>
      <c r="S31" s="377"/>
      <c r="T31" s="377"/>
      <c r="U31" s="377"/>
      <c r="V31" s="377"/>
      <c r="W31" s="583"/>
      <c r="Y31" s="343"/>
      <c r="Z31" s="23"/>
      <c r="AA31" s="411"/>
      <c r="AB31" s="26"/>
      <c r="AD31" s="370"/>
      <c r="AE31" s="371"/>
      <c r="AF31" s="372"/>
    </row>
    <row r="32" spans="1:33" s="342" customFormat="1">
      <c r="A32" s="340">
        <v>46093</v>
      </c>
      <c r="B32" s="341" t="s">
        <v>194</v>
      </c>
      <c r="C32" s="22" t="s">
        <v>8</v>
      </c>
      <c r="D32" s="378"/>
      <c r="E32" s="379"/>
      <c r="F32" s="378">
        <v>-14</v>
      </c>
      <c r="G32" s="379"/>
      <c r="H32" s="377"/>
      <c r="I32" s="377"/>
      <c r="J32" s="377"/>
      <c r="K32" s="377"/>
      <c r="L32" s="377"/>
      <c r="M32" s="377"/>
      <c r="N32" s="377"/>
      <c r="O32" s="379"/>
      <c r="P32" s="378"/>
      <c r="Q32" s="377"/>
      <c r="R32" s="377"/>
      <c r="S32" s="377"/>
      <c r="T32" s="377"/>
      <c r="U32" s="377"/>
      <c r="V32" s="377"/>
      <c r="W32" s="583"/>
      <c r="Y32" s="343"/>
      <c r="Z32" s="23"/>
      <c r="AA32" s="411"/>
      <c r="AB32" s="26"/>
      <c r="AD32" s="370"/>
      <c r="AE32" s="371"/>
      <c r="AF32" s="372"/>
    </row>
    <row r="33" spans="1:32" s="342" customFormat="1">
      <c r="A33" s="340">
        <v>46093</v>
      </c>
      <c r="B33" s="341" t="s">
        <v>145</v>
      </c>
      <c r="C33" s="22" t="s">
        <v>8</v>
      </c>
      <c r="D33" s="378"/>
      <c r="E33" s="379"/>
      <c r="F33" s="378">
        <v>-5</v>
      </c>
      <c r="G33" s="379"/>
      <c r="H33" s="377"/>
      <c r="I33" s="377"/>
      <c r="J33" s="377"/>
      <c r="K33" s="377"/>
      <c r="L33" s="377"/>
      <c r="M33" s="377"/>
      <c r="N33" s="377"/>
      <c r="O33" s="379"/>
      <c r="P33" s="378"/>
      <c r="Q33" s="377"/>
      <c r="R33" s="377"/>
      <c r="S33" s="377"/>
      <c r="T33" s="377"/>
      <c r="U33" s="377"/>
      <c r="V33" s="377"/>
      <c r="W33" s="583"/>
      <c r="Y33" s="343"/>
      <c r="Z33" s="23"/>
      <c r="AA33" s="411"/>
      <c r="AB33" s="26"/>
      <c r="AD33" s="370"/>
      <c r="AE33" s="371"/>
      <c r="AF33" s="372"/>
    </row>
    <row r="34" spans="1:32" s="342" customFormat="1">
      <c r="A34" s="340">
        <v>46094</v>
      </c>
      <c r="B34" s="341" t="s">
        <v>16</v>
      </c>
      <c r="C34" s="22" t="s">
        <v>16</v>
      </c>
      <c r="D34" s="378"/>
      <c r="E34" s="379"/>
      <c r="F34" s="378"/>
      <c r="G34" s="379">
        <v>-150</v>
      </c>
      <c r="H34" s="377"/>
      <c r="I34" s="377"/>
      <c r="J34" s="377"/>
      <c r="K34" s="377"/>
      <c r="L34" s="377"/>
      <c r="M34" s="377"/>
      <c r="N34" s="377"/>
      <c r="O34" s="379"/>
      <c r="P34" s="378"/>
      <c r="Q34" s="377"/>
      <c r="R34" s="377"/>
      <c r="S34" s="377"/>
      <c r="T34" s="377"/>
      <c r="U34" s="377"/>
      <c r="V34" s="377"/>
      <c r="W34" s="583"/>
      <c r="Y34" s="343"/>
      <c r="Z34" s="23"/>
      <c r="AA34" s="411"/>
      <c r="AB34" s="26"/>
      <c r="AD34" s="370"/>
      <c r="AE34" s="371"/>
      <c r="AF34" s="372"/>
    </row>
    <row r="35" spans="1:32" s="342" customFormat="1">
      <c r="A35" s="340">
        <v>46094</v>
      </c>
      <c r="B35" s="341" t="s">
        <v>171</v>
      </c>
      <c r="C35" s="22" t="s">
        <v>8</v>
      </c>
      <c r="D35" s="378"/>
      <c r="E35" s="379"/>
      <c r="F35" s="378">
        <v>-30</v>
      </c>
      <c r="G35" s="379"/>
      <c r="H35" s="377"/>
      <c r="I35" s="377"/>
      <c r="J35" s="377"/>
      <c r="K35" s="377"/>
      <c r="L35" s="377"/>
      <c r="M35" s="377"/>
      <c r="N35" s="377"/>
      <c r="O35" s="379"/>
      <c r="P35" s="378"/>
      <c r="Q35" s="377"/>
      <c r="R35" s="377"/>
      <c r="S35" s="377"/>
      <c r="T35" s="377"/>
      <c r="U35" s="377"/>
      <c r="V35" s="377"/>
      <c r="W35" s="583"/>
      <c r="Y35" s="343"/>
      <c r="Z35" s="23"/>
      <c r="AA35" s="411"/>
      <c r="AB35" s="26"/>
      <c r="AD35" s="370"/>
      <c r="AE35" s="371"/>
      <c r="AF35" s="372"/>
    </row>
    <row r="36" spans="1:32" s="342" customFormat="1">
      <c r="A36" s="340">
        <v>46094</v>
      </c>
      <c r="B36" s="341" t="s">
        <v>17</v>
      </c>
      <c r="C36" s="22" t="s">
        <v>17</v>
      </c>
      <c r="D36" s="378"/>
      <c r="E36" s="379"/>
      <c r="F36" s="378">
        <f>-17-38</f>
        <v>-55</v>
      </c>
      <c r="G36" s="379"/>
      <c r="H36" s="377"/>
      <c r="I36" s="377"/>
      <c r="J36" s="377"/>
      <c r="K36" s="377"/>
      <c r="L36" s="377"/>
      <c r="M36" s="377"/>
      <c r="N36" s="377"/>
      <c r="O36" s="379"/>
      <c r="P36" s="378"/>
      <c r="Q36" s="377"/>
      <c r="R36" s="377"/>
      <c r="S36" s="377"/>
      <c r="T36" s="377"/>
      <c r="U36" s="377"/>
      <c r="V36" s="377"/>
      <c r="W36" s="583"/>
      <c r="Y36" s="343"/>
      <c r="Z36" s="23"/>
      <c r="AA36" s="411"/>
      <c r="AB36" s="26"/>
      <c r="AD36" s="370"/>
      <c r="AE36" s="371"/>
      <c r="AF36" s="372"/>
    </row>
    <row r="37" spans="1:32" s="342" customFormat="1">
      <c r="A37" s="340">
        <v>46094</v>
      </c>
      <c r="B37" s="341" t="s">
        <v>13</v>
      </c>
      <c r="C37" s="22" t="s">
        <v>13</v>
      </c>
      <c r="D37" s="378"/>
      <c r="E37" s="379"/>
      <c r="F37" s="378">
        <f>-50-404-40-50</f>
        <v>-544</v>
      </c>
      <c r="G37" s="379">
        <v>-300</v>
      </c>
      <c r="H37" s="377"/>
      <c r="I37" s="377"/>
      <c r="J37" s="377"/>
      <c r="K37" s="377"/>
      <c r="L37" s="377"/>
      <c r="M37" s="377"/>
      <c r="N37" s="377"/>
      <c r="O37" s="379"/>
      <c r="P37" s="378"/>
      <c r="Q37" s="377"/>
      <c r="R37" s="377"/>
      <c r="S37" s="377"/>
      <c r="T37" s="377"/>
      <c r="U37" s="377"/>
      <c r="V37" s="377"/>
      <c r="W37" s="583"/>
      <c r="Y37" s="343"/>
      <c r="Z37" s="23"/>
      <c r="AA37" s="411"/>
      <c r="AB37" s="26"/>
      <c r="AD37" s="370"/>
      <c r="AE37" s="371"/>
      <c r="AF37" s="372"/>
    </row>
    <row r="38" spans="1:32" s="342" customFormat="1">
      <c r="A38" s="340">
        <v>46097</v>
      </c>
      <c r="B38" s="341" t="s">
        <v>170</v>
      </c>
      <c r="C38" s="22" t="s">
        <v>170</v>
      </c>
      <c r="D38" s="378"/>
      <c r="E38" s="379">
        <v>4838</v>
      </c>
      <c r="F38" s="378"/>
      <c r="G38" s="379"/>
      <c r="H38" s="377"/>
      <c r="I38" s="377"/>
      <c r="J38" s="377"/>
      <c r="K38" s="377"/>
      <c r="L38" s="377"/>
      <c r="M38" s="377"/>
      <c r="N38" s="377"/>
      <c r="O38" s="379"/>
      <c r="P38" s="378"/>
      <c r="Q38" s="377"/>
      <c r="R38" s="377"/>
      <c r="S38" s="377"/>
      <c r="T38" s="377"/>
      <c r="U38" s="377"/>
      <c r="V38" s="377"/>
      <c r="W38" s="583"/>
      <c r="Y38" s="343"/>
      <c r="Z38" s="23"/>
      <c r="AA38" s="411"/>
      <c r="AB38" s="26"/>
      <c r="AD38" s="370"/>
      <c r="AE38" s="371"/>
      <c r="AF38" s="372"/>
    </row>
    <row r="39" spans="1:32" s="342" customFormat="1">
      <c r="A39" s="340">
        <v>46097</v>
      </c>
      <c r="B39" s="341" t="s">
        <v>4</v>
      </c>
      <c r="C39" s="22" t="s">
        <v>4</v>
      </c>
      <c r="D39" s="378"/>
      <c r="E39" s="379">
        <v>-300</v>
      </c>
      <c r="F39" s="378"/>
      <c r="G39" s="379"/>
      <c r="H39" s="377"/>
      <c r="I39" s="377"/>
      <c r="J39" s="377"/>
      <c r="K39" s="377"/>
      <c r="L39" s="377"/>
      <c r="M39" s="377"/>
      <c r="N39" s="377"/>
      <c r="O39" s="379"/>
      <c r="P39" s="378"/>
      <c r="Q39" s="377"/>
      <c r="R39" s="377">
        <v>300</v>
      </c>
      <c r="S39" s="377"/>
      <c r="T39" s="377"/>
      <c r="U39" s="377"/>
      <c r="V39" s="377"/>
      <c r="W39" s="583"/>
      <c r="Y39" s="343"/>
      <c r="Z39" s="23"/>
      <c r="AA39" s="411"/>
      <c r="AB39" s="26"/>
      <c r="AD39" s="370"/>
      <c r="AE39" s="371"/>
      <c r="AF39" s="372"/>
    </row>
    <row r="40" spans="1:32" s="342" customFormat="1">
      <c r="A40" s="340">
        <v>46097</v>
      </c>
      <c r="B40" s="341" t="s">
        <v>17</v>
      </c>
      <c r="C40" s="22" t="s">
        <v>17</v>
      </c>
      <c r="D40" s="378"/>
      <c r="E40" s="379"/>
      <c r="F40" s="378"/>
      <c r="G40" s="379">
        <f>-65-3-34-65-13-65</f>
        <v>-245</v>
      </c>
      <c r="H40" s="377"/>
      <c r="I40" s="377"/>
      <c r="J40" s="377"/>
      <c r="K40" s="377"/>
      <c r="L40" s="377"/>
      <c r="M40" s="377"/>
      <c r="N40" s="377"/>
      <c r="O40" s="379"/>
      <c r="P40" s="378"/>
      <c r="Q40" s="377"/>
      <c r="R40" s="377"/>
      <c r="S40" s="377"/>
      <c r="T40" s="377"/>
      <c r="U40" s="377"/>
      <c r="V40" s="377"/>
      <c r="W40" s="583"/>
      <c r="Y40" s="343"/>
      <c r="Z40" s="23"/>
      <c r="AA40" s="411"/>
      <c r="AB40" s="26"/>
      <c r="AD40" s="370"/>
      <c r="AE40" s="371"/>
      <c r="AF40" s="372"/>
    </row>
    <row r="41" spans="1:32" s="342" customFormat="1">
      <c r="A41" s="340">
        <v>46097</v>
      </c>
      <c r="B41" s="341" t="s">
        <v>21</v>
      </c>
      <c r="C41" s="22" t="s">
        <v>21</v>
      </c>
      <c r="D41" s="378"/>
      <c r="E41" s="379"/>
      <c r="F41" s="378">
        <v>-306</v>
      </c>
      <c r="G41" s="379"/>
      <c r="H41" s="377"/>
      <c r="I41" s="377"/>
      <c r="J41" s="377"/>
      <c r="K41" s="377"/>
      <c r="L41" s="377"/>
      <c r="M41" s="377"/>
      <c r="N41" s="377"/>
      <c r="O41" s="379"/>
      <c r="P41" s="378"/>
      <c r="Q41" s="377"/>
      <c r="R41" s="377"/>
      <c r="S41" s="377"/>
      <c r="T41" s="377"/>
      <c r="U41" s="377"/>
      <c r="V41" s="377"/>
      <c r="W41" s="583"/>
      <c r="Y41" s="343"/>
      <c r="Z41" s="23"/>
      <c r="AA41" s="411"/>
      <c r="AB41" s="26"/>
      <c r="AD41" s="370"/>
      <c r="AE41" s="371"/>
      <c r="AF41" s="372"/>
    </row>
    <row r="42" spans="1:32" s="342" customFormat="1">
      <c r="A42" s="340">
        <v>46097</v>
      </c>
      <c r="B42" s="341" t="s">
        <v>9</v>
      </c>
      <c r="C42" s="22" t="s">
        <v>9</v>
      </c>
      <c r="D42" s="378"/>
      <c r="E42" s="379"/>
      <c r="F42" s="378">
        <v>-342</v>
      </c>
      <c r="G42" s="379"/>
      <c r="H42" s="377"/>
      <c r="I42" s="377"/>
      <c r="J42" s="377"/>
      <c r="K42" s="377"/>
      <c r="L42" s="377"/>
      <c r="M42" s="377"/>
      <c r="N42" s="377"/>
      <c r="O42" s="379"/>
      <c r="P42" s="378"/>
      <c r="Q42" s="377"/>
      <c r="R42" s="377"/>
      <c r="S42" s="377"/>
      <c r="T42" s="377"/>
      <c r="U42" s="377"/>
      <c r="V42" s="377"/>
      <c r="W42" s="583"/>
      <c r="Y42" s="343"/>
      <c r="Z42" s="23"/>
      <c r="AA42" s="411"/>
      <c r="AB42" s="26"/>
      <c r="AD42" s="370"/>
      <c r="AE42" s="371"/>
      <c r="AF42" s="372"/>
    </row>
    <row r="43" spans="1:32" s="342" customFormat="1">
      <c r="A43" s="340">
        <v>46097</v>
      </c>
      <c r="B43" s="341" t="s">
        <v>195</v>
      </c>
      <c r="C43" s="22" t="s">
        <v>12</v>
      </c>
      <c r="D43" s="378"/>
      <c r="E43" s="379"/>
      <c r="F43" s="378">
        <v>-64</v>
      </c>
      <c r="G43" s="379"/>
      <c r="H43" s="377"/>
      <c r="I43" s="377"/>
      <c r="J43" s="377"/>
      <c r="K43" s="377"/>
      <c r="L43" s="377"/>
      <c r="M43" s="377"/>
      <c r="N43" s="377"/>
      <c r="O43" s="379"/>
      <c r="P43" s="378"/>
      <c r="Q43" s="377"/>
      <c r="R43" s="377"/>
      <c r="S43" s="377"/>
      <c r="T43" s="377"/>
      <c r="U43" s="377"/>
      <c r="V43" s="377"/>
      <c r="W43" s="583"/>
      <c r="Y43" s="343"/>
      <c r="Z43" s="23"/>
      <c r="AA43" s="23"/>
      <c r="AB43" s="26"/>
      <c r="AD43" s="370"/>
      <c r="AE43" s="371"/>
      <c r="AF43" s="372"/>
    </row>
    <row r="44" spans="1:32" s="342" customFormat="1">
      <c r="A44" s="340">
        <v>46097</v>
      </c>
      <c r="B44" s="341" t="s">
        <v>196</v>
      </c>
      <c r="C44" s="22" t="s">
        <v>20</v>
      </c>
      <c r="D44" s="378"/>
      <c r="E44" s="379"/>
      <c r="F44" s="378">
        <v>-167</v>
      </c>
      <c r="G44" s="379"/>
      <c r="H44" s="377"/>
      <c r="I44" s="377"/>
      <c r="J44" s="377"/>
      <c r="K44" s="377"/>
      <c r="L44" s="377"/>
      <c r="M44" s="377"/>
      <c r="N44" s="377"/>
      <c r="O44" s="379"/>
      <c r="P44" s="378"/>
      <c r="Q44" s="377"/>
      <c r="R44" s="377"/>
      <c r="S44" s="377"/>
      <c r="T44" s="377"/>
      <c r="U44" s="377"/>
      <c r="V44" s="377"/>
      <c r="W44" s="583"/>
      <c r="Y44" s="343"/>
      <c r="Z44" s="23"/>
      <c r="AA44" s="23"/>
      <c r="AB44" s="26"/>
      <c r="AD44" s="370"/>
      <c r="AE44" s="371"/>
      <c r="AF44" s="372"/>
    </row>
    <row r="45" spans="1:32" s="342" customFormat="1">
      <c r="A45" s="340">
        <v>46097</v>
      </c>
      <c r="B45" s="341" t="s">
        <v>13</v>
      </c>
      <c r="C45" s="22" t="s">
        <v>197</v>
      </c>
      <c r="D45" s="378"/>
      <c r="E45" s="379"/>
      <c r="F45" s="378">
        <f>-135-20-49-27</f>
        <v>-231</v>
      </c>
      <c r="G45" s="379">
        <v>-125</v>
      </c>
      <c r="H45" s="377"/>
      <c r="I45" s="377"/>
      <c r="J45" s="377"/>
      <c r="K45" s="377"/>
      <c r="L45" s="377"/>
      <c r="M45" s="377"/>
      <c r="N45" s="377"/>
      <c r="O45" s="379"/>
      <c r="P45" s="378"/>
      <c r="Q45" s="377"/>
      <c r="R45" s="377"/>
      <c r="S45" s="377"/>
      <c r="T45" s="377"/>
      <c r="U45" s="377"/>
      <c r="V45" s="377"/>
      <c r="W45" s="583"/>
      <c r="Y45" s="343"/>
      <c r="Z45" s="23"/>
      <c r="AA45" s="23"/>
      <c r="AB45" s="26"/>
      <c r="AD45" s="370"/>
      <c r="AE45" s="371"/>
      <c r="AF45" s="372"/>
    </row>
    <row r="46" spans="1:32" s="342" customFormat="1">
      <c r="A46" s="340">
        <v>46097</v>
      </c>
      <c r="B46" s="341" t="s">
        <v>20</v>
      </c>
      <c r="C46" s="22" t="s">
        <v>20</v>
      </c>
      <c r="D46" s="378"/>
      <c r="E46" s="379"/>
      <c r="F46" s="378">
        <v>-130</v>
      </c>
      <c r="G46" s="379"/>
      <c r="H46" s="377"/>
      <c r="I46" s="377"/>
      <c r="J46" s="377"/>
      <c r="K46" s="377"/>
      <c r="L46" s="377"/>
      <c r="M46" s="377"/>
      <c r="N46" s="377"/>
      <c r="O46" s="379"/>
      <c r="P46" s="378"/>
      <c r="Q46" s="377"/>
      <c r="R46" s="377"/>
      <c r="S46" s="377"/>
      <c r="T46" s="377"/>
      <c r="U46" s="377"/>
      <c r="V46" s="377"/>
      <c r="W46" s="583"/>
      <c r="Y46" s="343"/>
      <c r="Z46" s="23"/>
      <c r="AA46" s="23"/>
      <c r="AB46" s="26"/>
      <c r="AD46" s="370"/>
      <c r="AE46" s="371"/>
      <c r="AF46" s="372"/>
    </row>
    <row r="47" spans="1:32" s="342" customFormat="1">
      <c r="A47" s="340">
        <v>46100</v>
      </c>
      <c r="B47" s="341" t="s">
        <v>175</v>
      </c>
      <c r="C47" s="23" t="s">
        <v>12</v>
      </c>
      <c r="D47" s="378"/>
      <c r="E47" s="379">
        <v>-70.849999999999994</v>
      </c>
      <c r="F47" s="378"/>
      <c r="G47" s="379"/>
      <c r="H47" s="377"/>
      <c r="I47" s="377"/>
      <c r="J47" s="377"/>
      <c r="K47" s="377"/>
      <c r="L47" s="377"/>
      <c r="M47" s="377"/>
      <c r="N47" s="377"/>
      <c r="O47" s="379"/>
      <c r="P47" s="378"/>
      <c r="Q47" s="377"/>
      <c r="R47" s="377"/>
      <c r="S47" s="377"/>
      <c r="T47" s="377"/>
      <c r="U47" s="377"/>
      <c r="V47" s="377"/>
      <c r="W47" s="583"/>
      <c r="Y47" s="343"/>
      <c r="Z47" s="23"/>
      <c r="AA47" s="23"/>
      <c r="AB47" s="26"/>
      <c r="AD47" s="370"/>
      <c r="AE47" s="371"/>
      <c r="AF47" s="372"/>
    </row>
    <row r="48" spans="1:32" s="342" customFormat="1">
      <c r="A48" s="340">
        <v>46101</v>
      </c>
      <c r="B48" s="341" t="s">
        <v>147</v>
      </c>
      <c r="C48" s="23" t="s">
        <v>8</v>
      </c>
      <c r="D48" s="378"/>
      <c r="E48" s="379"/>
      <c r="F48" s="378">
        <f>-50-40</f>
        <v>-90</v>
      </c>
      <c r="G48" s="379"/>
      <c r="H48" s="377"/>
      <c r="I48" s="377"/>
      <c r="J48" s="377"/>
      <c r="K48" s="377"/>
      <c r="L48" s="377"/>
      <c r="M48" s="377"/>
      <c r="N48" s="377"/>
      <c r="O48" s="379"/>
      <c r="P48" s="378"/>
      <c r="Q48" s="377"/>
      <c r="R48" s="377"/>
      <c r="S48" s="377"/>
      <c r="T48" s="377"/>
      <c r="U48" s="377"/>
      <c r="V48" s="377"/>
      <c r="W48" s="583"/>
      <c r="Y48" s="343"/>
      <c r="Z48" s="23"/>
      <c r="AA48" s="23"/>
      <c r="AB48" s="26"/>
      <c r="AD48" s="370"/>
      <c r="AE48" s="371"/>
      <c r="AF48" s="372"/>
    </row>
    <row r="49" spans="1:32" s="342" customFormat="1">
      <c r="A49" s="340">
        <v>46101</v>
      </c>
      <c r="B49" s="341" t="s">
        <v>16</v>
      </c>
      <c r="C49" s="23" t="s">
        <v>16</v>
      </c>
      <c r="D49" s="378"/>
      <c r="E49" s="379"/>
      <c r="F49" s="378"/>
      <c r="G49" s="379">
        <v>-300</v>
      </c>
      <c r="H49" s="377"/>
      <c r="I49" s="377"/>
      <c r="J49" s="377"/>
      <c r="K49" s="377"/>
      <c r="L49" s="377"/>
      <c r="M49" s="377"/>
      <c r="N49" s="377"/>
      <c r="O49" s="379"/>
      <c r="P49" s="378"/>
      <c r="Q49" s="377"/>
      <c r="R49" s="377"/>
      <c r="S49" s="377"/>
      <c r="T49" s="377"/>
      <c r="U49" s="377"/>
      <c r="V49" s="377"/>
      <c r="W49" s="583"/>
      <c r="Y49" s="343"/>
      <c r="Z49" s="23"/>
      <c r="AA49" s="23"/>
      <c r="AB49" s="26"/>
      <c r="AD49" s="370"/>
      <c r="AE49" s="371"/>
      <c r="AF49" s="372"/>
    </row>
    <row r="50" spans="1:32" s="342" customFormat="1">
      <c r="A50" s="340">
        <v>46101</v>
      </c>
      <c r="B50" s="341" t="s">
        <v>11</v>
      </c>
      <c r="C50" s="23" t="s">
        <v>11</v>
      </c>
      <c r="D50" s="378"/>
      <c r="E50" s="379"/>
      <c r="F50" s="378"/>
      <c r="G50" s="379">
        <v>-200</v>
      </c>
      <c r="H50" s="377"/>
      <c r="I50" s="377"/>
      <c r="J50" s="377"/>
      <c r="K50" s="377"/>
      <c r="L50" s="377"/>
      <c r="M50" s="377"/>
      <c r="N50" s="377"/>
      <c r="O50" s="379"/>
      <c r="P50" s="378"/>
      <c r="Q50" s="377"/>
      <c r="R50" s="377"/>
      <c r="S50" s="377"/>
      <c r="T50" s="377"/>
      <c r="U50" s="377"/>
      <c r="V50" s="377"/>
      <c r="W50" s="583"/>
      <c r="Y50" s="343"/>
      <c r="Z50" s="23"/>
      <c r="AA50" s="23"/>
      <c r="AB50" s="26"/>
      <c r="AD50" s="370"/>
      <c r="AE50" s="371"/>
      <c r="AF50" s="372"/>
    </row>
    <row r="51" spans="1:32" s="342" customFormat="1">
      <c r="A51" s="340">
        <v>46104</v>
      </c>
      <c r="B51" s="341" t="s">
        <v>149</v>
      </c>
      <c r="C51" s="23" t="s">
        <v>149</v>
      </c>
      <c r="D51" s="378"/>
      <c r="E51" s="379">
        <v>-2000</v>
      </c>
      <c r="F51" s="378">
        <v>2000</v>
      </c>
      <c r="G51" s="379"/>
      <c r="H51" s="377"/>
      <c r="I51" s="377"/>
      <c r="J51" s="377"/>
      <c r="K51" s="377"/>
      <c r="L51" s="377"/>
      <c r="M51" s="377"/>
      <c r="N51" s="377"/>
      <c r="O51" s="379"/>
      <c r="P51" s="378"/>
      <c r="Q51" s="377"/>
      <c r="R51" s="377"/>
      <c r="S51" s="377"/>
      <c r="T51" s="377"/>
      <c r="U51" s="377"/>
      <c r="V51" s="377"/>
      <c r="W51" s="583"/>
      <c r="Y51" s="343"/>
      <c r="Z51" s="23"/>
      <c r="AA51" s="23"/>
      <c r="AB51" s="26"/>
      <c r="AD51" s="370"/>
      <c r="AE51" s="371"/>
      <c r="AF51" s="372"/>
    </row>
    <row r="52" spans="1:32" s="342" customFormat="1">
      <c r="A52" s="340">
        <v>46104</v>
      </c>
      <c r="B52" s="341" t="s">
        <v>14</v>
      </c>
      <c r="C52" s="23" t="s">
        <v>14</v>
      </c>
      <c r="D52" s="378"/>
      <c r="E52" s="379"/>
      <c r="F52" s="378">
        <f>-150-20</f>
        <v>-170</v>
      </c>
      <c r="G52" s="379"/>
      <c r="H52" s="377"/>
      <c r="I52" s="377"/>
      <c r="J52" s="377"/>
      <c r="K52" s="377"/>
      <c r="L52" s="377"/>
      <c r="M52" s="377"/>
      <c r="N52" s="377"/>
      <c r="O52" s="379"/>
      <c r="P52" s="378"/>
      <c r="Q52" s="377"/>
      <c r="R52" s="377"/>
      <c r="S52" s="377"/>
      <c r="T52" s="377"/>
      <c r="U52" s="377"/>
      <c r="V52" s="377"/>
      <c r="W52" s="583"/>
      <c r="Y52" s="343"/>
      <c r="Z52" s="23"/>
      <c r="AA52" s="23"/>
      <c r="AB52" s="26"/>
      <c r="AD52" s="370"/>
      <c r="AE52" s="371"/>
      <c r="AF52" s="372"/>
    </row>
    <row r="53" spans="1:32" s="342" customFormat="1">
      <c r="A53" s="340">
        <v>46104</v>
      </c>
      <c r="B53" s="341" t="s">
        <v>193</v>
      </c>
      <c r="C53" s="23" t="s">
        <v>15</v>
      </c>
      <c r="D53" s="378"/>
      <c r="E53" s="379"/>
      <c r="F53" s="378">
        <f>-50-72</f>
        <v>-122</v>
      </c>
      <c r="G53" s="379"/>
      <c r="H53" s="377"/>
      <c r="I53" s="377"/>
      <c r="J53" s="377"/>
      <c r="K53" s="377"/>
      <c r="L53" s="377"/>
      <c r="M53" s="377"/>
      <c r="N53" s="377"/>
      <c r="O53" s="379"/>
      <c r="P53" s="378"/>
      <c r="Q53" s="377"/>
      <c r="R53" s="377"/>
      <c r="S53" s="377"/>
      <c r="T53" s="377"/>
      <c r="U53" s="377"/>
      <c r="V53" s="377"/>
      <c r="W53" s="583"/>
      <c r="Y53" s="343"/>
      <c r="Z53" s="23"/>
      <c r="AA53" s="23"/>
      <c r="AB53" s="26"/>
      <c r="AD53" s="370"/>
      <c r="AE53" s="371"/>
      <c r="AF53" s="372"/>
    </row>
    <row r="54" spans="1:32" s="342" customFormat="1">
      <c r="A54" s="340">
        <v>46105</v>
      </c>
      <c r="B54" s="341" t="s">
        <v>179</v>
      </c>
      <c r="C54" s="23" t="s">
        <v>8</v>
      </c>
      <c r="D54" s="378"/>
      <c r="E54" s="379"/>
      <c r="F54" s="378">
        <v>-85</v>
      </c>
      <c r="G54" s="379"/>
      <c r="H54" s="377"/>
      <c r="I54" s="377"/>
      <c r="J54" s="377"/>
      <c r="K54" s="377"/>
      <c r="L54" s="377"/>
      <c r="M54" s="377"/>
      <c r="N54" s="377"/>
      <c r="O54" s="379"/>
      <c r="P54" s="378"/>
      <c r="Q54" s="377"/>
      <c r="R54" s="377"/>
      <c r="S54" s="377"/>
      <c r="T54" s="377"/>
      <c r="U54" s="377"/>
      <c r="V54" s="377"/>
      <c r="W54" s="583"/>
      <c r="Y54" s="343"/>
      <c r="Z54" s="23"/>
      <c r="AA54" s="23"/>
      <c r="AB54" s="26"/>
      <c r="AD54" s="370"/>
      <c r="AE54" s="371"/>
      <c r="AF54" s="372"/>
    </row>
    <row r="55" spans="1:32" s="342" customFormat="1">
      <c r="A55" s="340">
        <v>46105</v>
      </c>
      <c r="B55" s="341" t="s">
        <v>198</v>
      </c>
      <c r="C55" s="23" t="s">
        <v>8</v>
      </c>
      <c r="D55" s="378"/>
      <c r="E55" s="379"/>
      <c r="F55" s="378">
        <v>-40</v>
      </c>
      <c r="G55" s="379"/>
      <c r="H55" s="377"/>
      <c r="I55" s="377"/>
      <c r="J55" s="377"/>
      <c r="K55" s="377"/>
      <c r="L55" s="377"/>
      <c r="M55" s="377"/>
      <c r="N55" s="377"/>
      <c r="O55" s="379"/>
      <c r="P55" s="378"/>
      <c r="Q55" s="377"/>
      <c r="R55" s="377"/>
      <c r="S55" s="377"/>
      <c r="T55" s="377"/>
      <c r="U55" s="377"/>
      <c r="V55" s="377"/>
      <c r="W55" s="583"/>
      <c r="Y55" s="343"/>
      <c r="Z55" s="23"/>
      <c r="AA55" s="23"/>
      <c r="AB55" s="26"/>
      <c r="AD55" s="370"/>
      <c r="AE55" s="371"/>
      <c r="AF55" s="372"/>
    </row>
    <row r="56" spans="1:32" s="342" customFormat="1">
      <c r="A56" s="340">
        <v>46107</v>
      </c>
      <c r="B56" s="341" t="s">
        <v>13</v>
      </c>
      <c r="C56" s="23" t="s">
        <v>13</v>
      </c>
      <c r="D56" s="378"/>
      <c r="E56" s="379"/>
      <c r="F56" s="378">
        <v>-30</v>
      </c>
      <c r="G56" s="379"/>
      <c r="H56" s="377"/>
      <c r="I56" s="377"/>
      <c r="J56" s="377"/>
      <c r="K56" s="377"/>
      <c r="L56" s="377"/>
      <c r="M56" s="377"/>
      <c r="N56" s="377"/>
      <c r="O56" s="379"/>
      <c r="P56" s="378"/>
      <c r="Q56" s="377"/>
      <c r="R56" s="377"/>
      <c r="S56" s="377"/>
      <c r="T56" s="377"/>
      <c r="U56" s="377"/>
      <c r="V56" s="377"/>
      <c r="W56" s="583"/>
      <c r="Y56" s="343"/>
      <c r="Z56" s="23"/>
      <c r="AA56" s="23"/>
      <c r="AB56" s="26"/>
      <c r="AD56" s="370"/>
      <c r="AE56" s="371"/>
      <c r="AF56" s="372"/>
    </row>
    <row r="57" spans="1:32" s="342" customFormat="1">
      <c r="A57" s="340">
        <v>46107</v>
      </c>
      <c r="B57" s="341" t="s">
        <v>189</v>
      </c>
      <c r="C57" s="23" t="s">
        <v>8</v>
      </c>
      <c r="D57" s="378"/>
      <c r="E57" s="379"/>
      <c r="F57" s="378">
        <v>-80</v>
      </c>
      <c r="G57" s="379"/>
      <c r="H57" s="377"/>
      <c r="I57" s="377"/>
      <c r="J57" s="377"/>
      <c r="K57" s="377"/>
      <c r="L57" s="377"/>
      <c r="M57" s="377"/>
      <c r="N57" s="377"/>
      <c r="O57" s="379"/>
      <c r="P57" s="378"/>
      <c r="Q57" s="377"/>
      <c r="R57" s="377"/>
      <c r="S57" s="377"/>
      <c r="T57" s="377"/>
      <c r="U57" s="377"/>
      <c r="V57" s="377"/>
      <c r="W57" s="583"/>
      <c r="Y57" s="343"/>
      <c r="Z57" s="23"/>
      <c r="AA57" s="23"/>
      <c r="AB57" s="26"/>
      <c r="AD57" s="370"/>
      <c r="AE57" s="371"/>
      <c r="AF57" s="372"/>
    </row>
    <row r="58" spans="1:32" s="342" customFormat="1">
      <c r="A58" s="340">
        <v>46107</v>
      </c>
      <c r="B58" s="341" t="s">
        <v>16</v>
      </c>
      <c r="C58" s="23" t="s">
        <v>16</v>
      </c>
      <c r="D58" s="378"/>
      <c r="E58" s="379"/>
      <c r="F58" s="378">
        <v>-90</v>
      </c>
      <c r="G58" s="379"/>
      <c r="H58" s="377"/>
      <c r="I58" s="377"/>
      <c r="J58" s="377"/>
      <c r="K58" s="377"/>
      <c r="L58" s="377"/>
      <c r="M58" s="377"/>
      <c r="N58" s="377"/>
      <c r="O58" s="379"/>
      <c r="P58" s="378"/>
      <c r="Q58" s="377"/>
      <c r="R58" s="377"/>
      <c r="S58" s="377"/>
      <c r="T58" s="377"/>
      <c r="U58" s="377"/>
      <c r="V58" s="377"/>
      <c r="W58" s="583"/>
      <c r="Y58" s="343"/>
      <c r="Z58" s="23"/>
      <c r="AA58" s="23"/>
      <c r="AB58" s="26"/>
      <c r="AD58" s="370"/>
      <c r="AE58" s="371"/>
      <c r="AF58" s="372"/>
    </row>
    <row r="59" spans="1:32" s="342" customFormat="1">
      <c r="A59" s="340">
        <v>46108</v>
      </c>
      <c r="B59" s="341" t="s">
        <v>177</v>
      </c>
      <c r="C59" s="23" t="s">
        <v>12</v>
      </c>
      <c r="D59" s="378"/>
      <c r="E59" s="379">
        <v>-276</v>
      </c>
      <c r="F59" s="378"/>
      <c r="G59" s="379"/>
      <c r="H59" s="377"/>
      <c r="I59" s="377"/>
      <c r="J59" s="377"/>
      <c r="K59" s="377"/>
      <c r="L59" s="377"/>
      <c r="M59" s="377"/>
      <c r="N59" s="377"/>
      <c r="O59" s="379"/>
      <c r="P59" s="378"/>
      <c r="Q59" s="377"/>
      <c r="R59" s="377"/>
      <c r="S59" s="377"/>
      <c r="T59" s="377"/>
      <c r="U59" s="377"/>
      <c r="V59" s="377"/>
      <c r="W59" s="583"/>
      <c r="Y59" s="343"/>
      <c r="Z59" s="23"/>
      <c r="AA59" s="23"/>
      <c r="AB59" s="26"/>
      <c r="AD59" s="370"/>
      <c r="AE59" s="371"/>
      <c r="AF59" s="372"/>
    </row>
    <row r="60" spans="1:32" s="342" customFormat="1">
      <c r="A60" s="340">
        <v>46108</v>
      </c>
      <c r="B60" s="341" t="s">
        <v>199</v>
      </c>
      <c r="C60" s="23" t="s">
        <v>12</v>
      </c>
      <c r="D60" s="378"/>
      <c r="E60" s="379">
        <v>-19.12</v>
      </c>
      <c r="F60" s="378"/>
      <c r="G60" s="379"/>
      <c r="H60" s="377"/>
      <c r="I60" s="377"/>
      <c r="J60" s="377"/>
      <c r="K60" s="377"/>
      <c r="L60" s="377"/>
      <c r="M60" s="377"/>
      <c r="N60" s="377"/>
      <c r="O60" s="379"/>
      <c r="P60" s="378"/>
      <c r="Q60" s="377"/>
      <c r="R60" s="377"/>
      <c r="S60" s="377"/>
      <c r="T60" s="377"/>
      <c r="U60" s="377"/>
      <c r="V60" s="377"/>
      <c r="W60" s="583"/>
      <c r="Y60" s="343"/>
      <c r="Z60" s="23"/>
      <c r="AA60" s="23"/>
      <c r="AB60" s="26"/>
      <c r="AD60" s="370"/>
      <c r="AE60" s="371"/>
      <c r="AF60" s="372"/>
    </row>
    <row r="61" spans="1:32" s="342" customFormat="1">
      <c r="A61" s="340">
        <v>46108</v>
      </c>
      <c r="B61" s="341" t="s">
        <v>170</v>
      </c>
      <c r="C61" s="23" t="s">
        <v>170</v>
      </c>
      <c r="D61" s="378"/>
      <c r="E61" s="379">
        <v>4794</v>
      </c>
      <c r="F61" s="378"/>
      <c r="G61" s="379"/>
      <c r="H61" s="377"/>
      <c r="I61" s="377"/>
      <c r="J61" s="377"/>
      <c r="K61" s="377"/>
      <c r="L61" s="377"/>
      <c r="M61" s="377"/>
      <c r="N61" s="377"/>
      <c r="O61" s="379"/>
      <c r="P61" s="378"/>
      <c r="Q61" s="377"/>
      <c r="R61" s="377"/>
      <c r="S61" s="377"/>
      <c r="T61" s="377"/>
      <c r="U61" s="377"/>
      <c r="V61" s="377"/>
      <c r="W61" s="583"/>
      <c r="Y61" s="343"/>
      <c r="Z61" s="23"/>
      <c r="AA61" s="23"/>
      <c r="AB61" s="26"/>
      <c r="AD61" s="370"/>
      <c r="AE61" s="371"/>
      <c r="AF61" s="372"/>
    </row>
    <row r="62" spans="1:32" s="342" customFormat="1">
      <c r="A62" s="340">
        <v>46108</v>
      </c>
      <c r="B62" s="341" t="s">
        <v>170</v>
      </c>
      <c r="C62" s="23" t="s">
        <v>170</v>
      </c>
      <c r="D62" s="378"/>
      <c r="E62" s="379">
        <v>5000</v>
      </c>
      <c r="F62" s="378"/>
      <c r="G62" s="379"/>
      <c r="H62" s="377"/>
      <c r="I62" s="377"/>
      <c r="J62" s="377"/>
      <c r="K62" s="377"/>
      <c r="L62" s="377"/>
      <c r="M62" s="377"/>
      <c r="N62" s="377"/>
      <c r="O62" s="379"/>
      <c r="P62" s="378"/>
      <c r="Q62" s="377"/>
      <c r="R62" s="377"/>
      <c r="S62" s="377"/>
      <c r="T62" s="377"/>
      <c r="U62" s="377"/>
      <c r="V62" s="377"/>
      <c r="W62" s="583"/>
      <c r="Y62" s="343"/>
      <c r="Z62" s="23"/>
      <c r="AA62" s="23"/>
      <c r="AB62" s="26"/>
      <c r="AD62" s="370"/>
      <c r="AE62" s="371"/>
      <c r="AF62" s="372"/>
    </row>
    <row r="63" spans="1:32" s="342" customFormat="1">
      <c r="A63" s="340">
        <v>46108</v>
      </c>
      <c r="B63" s="341" t="s">
        <v>23</v>
      </c>
      <c r="C63" s="23" t="s">
        <v>23</v>
      </c>
      <c r="D63" s="378"/>
      <c r="E63" s="379"/>
      <c r="F63" s="378">
        <v>-49</v>
      </c>
      <c r="G63" s="379">
        <v>-2660</v>
      </c>
      <c r="H63" s="377"/>
      <c r="I63" s="377"/>
      <c r="J63" s="377"/>
      <c r="K63" s="377"/>
      <c r="L63" s="377"/>
      <c r="M63" s="377"/>
      <c r="N63" s="377"/>
      <c r="O63" s="379"/>
      <c r="P63" s="378"/>
      <c r="Q63" s="377"/>
      <c r="R63" s="377"/>
      <c r="S63" s="377"/>
      <c r="T63" s="377"/>
      <c r="U63" s="377"/>
      <c r="V63" s="377"/>
      <c r="W63" s="583"/>
      <c r="Y63" s="343"/>
      <c r="Z63" s="23"/>
      <c r="AA63" s="23"/>
      <c r="AB63" s="26"/>
      <c r="AD63" s="370"/>
      <c r="AE63" s="371"/>
      <c r="AF63" s="372"/>
    </row>
    <row r="64" spans="1:32" s="342" customFormat="1">
      <c r="A64" s="340">
        <v>46108</v>
      </c>
      <c r="B64" s="341" t="s">
        <v>183</v>
      </c>
      <c r="C64" s="23" t="s">
        <v>183</v>
      </c>
      <c r="D64" s="378"/>
      <c r="E64" s="379"/>
      <c r="F64" s="378">
        <f>-14-2-2500</f>
        <v>-2516</v>
      </c>
      <c r="G64" s="379"/>
      <c r="H64" s="377"/>
      <c r="I64" s="377">
        <f>-15000+5000</f>
        <v>-10000</v>
      </c>
      <c r="J64" s="377"/>
      <c r="K64" s="377">
        <v>-10000</v>
      </c>
      <c r="L64" s="377"/>
      <c r="M64" s="377"/>
      <c r="N64" s="377"/>
      <c r="O64" s="379"/>
      <c r="P64" s="378"/>
      <c r="Q64" s="377"/>
      <c r="R64" s="377"/>
      <c r="S64" s="377"/>
      <c r="T64" s="377"/>
      <c r="U64" s="377"/>
      <c r="V64" s="377"/>
      <c r="W64" s="583"/>
      <c r="Y64" s="343"/>
      <c r="Z64" s="23"/>
      <c r="AA64" s="23"/>
      <c r="AB64" s="26"/>
      <c r="AD64" s="370"/>
      <c r="AE64" s="371"/>
      <c r="AF64" s="372"/>
    </row>
    <row r="65" spans="1:32" s="342" customFormat="1">
      <c r="A65" s="340">
        <v>46110</v>
      </c>
      <c r="B65" s="341" t="s">
        <v>14</v>
      </c>
      <c r="C65" s="23" t="s">
        <v>14</v>
      </c>
      <c r="D65" s="378"/>
      <c r="E65" s="379"/>
      <c r="F65" s="378">
        <f>-50-100-28-76</f>
        <v>-254</v>
      </c>
      <c r="G65" s="379">
        <f>-150-100+50-5</f>
        <v>-205</v>
      </c>
      <c r="H65" s="377"/>
      <c r="I65" s="377"/>
      <c r="J65" s="377"/>
      <c r="K65" s="377"/>
      <c r="L65" s="377"/>
      <c r="M65" s="377"/>
      <c r="N65" s="377"/>
      <c r="O65" s="379"/>
      <c r="P65" s="378"/>
      <c r="Q65" s="377"/>
      <c r="R65" s="377"/>
      <c r="S65" s="377"/>
      <c r="T65" s="377"/>
      <c r="U65" s="377"/>
      <c r="V65" s="377"/>
      <c r="W65" s="583"/>
      <c r="Y65" s="343"/>
      <c r="Z65" s="23"/>
      <c r="AA65" s="23"/>
      <c r="AB65" s="26"/>
      <c r="AD65" s="370"/>
      <c r="AE65" s="371"/>
      <c r="AF65" s="372"/>
    </row>
    <row r="66" spans="1:32" s="342" customFormat="1" ht="11.25" customHeight="1">
      <c r="A66" s="340">
        <v>46112</v>
      </c>
      <c r="B66" s="369" t="s">
        <v>3</v>
      </c>
      <c r="C66" s="299" t="s">
        <v>3</v>
      </c>
      <c r="D66" s="188"/>
      <c r="E66" s="188">
        <v>-25</v>
      </c>
      <c r="F66" s="326"/>
      <c r="G66" s="327"/>
      <c r="H66" s="188"/>
      <c r="I66" s="188">
        <v>25</v>
      </c>
      <c r="J66" s="188"/>
      <c r="K66" s="188"/>
      <c r="L66" s="188"/>
      <c r="M66" s="188"/>
      <c r="N66" s="188"/>
      <c r="O66" s="327"/>
      <c r="P66" s="188"/>
      <c r="Q66" s="188"/>
      <c r="R66" s="188"/>
      <c r="S66" s="188"/>
      <c r="T66" s="188"/>
      <c r="U66" s="188"/>
      <c r="V66" s="188"/>
      <c r="W66" s="323"/>
      <c r="Y66" s="343"/>
      <c r="Z66" s="23"/>
      <c r="AA66" s="23"/>
      <c r="AB66" s="26"/>
      <c r="AD66" s="370"/>
      <c r="AE66" s="371"/>
      <c r="AF66" s="372"/>
    </row>
    <row r="67" spans="1:32" s="342" customFormat="1">
      <c r="A67" s="592">
        <v>46112</v>
      </c>
      <c r="B67" s="394" t="s">
        <v>149</v>
      </c>
      <c r="C67" s="386" t="s">
        <v>149</v>
      </c>
      <c r="D67" s="201"/>
      <c r="E67" s="201">
        <f>-SUM(F67:G67)</f>
        <v>-10609</v>
      </c>
      <c r="F67" s="328">
        <f>-SUM(F4:F66)</f>
        <v>5092</v>
      </c>
      <c r="G67" s="329">
        <f>-SUM(G4:G66)</f>
        <v>5517</v>
      </c>
      <c r="H67" s="201"/>
      <c r="I67" s="201"/>
      <c r="J67" s="383"/>
      <c r="K67" s="383"/>
      <c r="L67" s="383"/>
      <c r="M67" s="383"/>
      <c r="N67" s="383"/>
      <c r="O67" s="382"/>
      <c r="P67" s="381"/>
      <c r="Q67" s="383"/>
      <c r="R67" s="383"/>
      <c r="S67" s="383"/>
      <c r="T67" s="383"/>
      <c r="U67" s="383"/>
      <c r="V67" s="383"/>
      <c r="W67" s="594"/>
      <c r="Y67" s="343"/>
      <c r="Z67" s="23"/>
      <c r="AA67" s="23"/>
      <c r="AB67" s="26"/>
      <c r="AD67" s="370"/>
      <c r="AE67" s="371"/>
      <c r="AF67" s="372"/>
    </row>
    <row r="68" spans="1:32">
      <c r="A68" s="286"/>
      <c r="B68" s="387"/>
      <c r="C68" s="388"/>
      <c r="D68" s="402"/>
      <c r="E68" s="403">
        <f>9300-SUM(E3:E67)</f>
        <v>-53.029999999998836</v>
      </c>
      <c r="F68" s="404"/>
      <c r="G68" s="403"/>
      <c r="H68" s="402"/>
      <c r="I68" s="402"/>
      <c r="J68" s="402"/>
      <c r="K68" s="402"/>
      <c r="L68" s="402"/>
      <c r="M68" s="402"/>
      <c r="N68" s="402"/>
      <c r="O68" s="403"/>
      <c r="P68" s="404"/>
      <c r="Q68" s="402"/>
      <c r="R68" s="402"/>
      <c r="S68" s="402"/>
      <c r="T68" s="402"/>
      <c r="U68" s="402"/>
      <c r="V68" s="402"/>
      <c r="W68" s="595">
        <v>474.72</v>
      </c>
      <c r="Y68" s="30"/>
      <c r="Z68" s="48"/>
      <c r="AA68" s="48"/>
      <c r="AB68" s="49"/>
      <c r="AD68" s="126"/>
      <c r="AE68" s="127"/>
      <c r="AF68" s="128"/>
    </row>
    <row r="69" spans="1:32">
      <c r="A69" s="31" t="s">
        <v>134</v>
      </c>
      <c r="B69" s="31"/>
      <c r="C69" s="146"/>
      <c r="D69" s="416">
        <f t="shared" ref="D69:O69" si="1">SUM(D3:D68)</f>
        <v>2000</v>
      </c>
      <c r="E69" s="197">
        <f>SUM(E3:E68)</f>
        <v>9300</v>
      </c>
      <c r="F69" s="417">
        <f>SUM(F4:F68)</f>
        <v>0</v>
      </c>
      <c r="G69" s="418">
        <f>SUM(G3:G68)</f>
        <v>0</v>
      </c>
      <c r="H69" s="197">
        <f t="shared" si="1"/>
        <v>14845.080000000002</v>
      </c>
      <c r="I69" s="197">
        <f>SUM(I3:I68)</f>
        <v>47065.000000000007</v>
      </c>
      <c r="J69" s="197">
        <f t="shared" si="1"/>
        <v>154796</v>
      </c>
      <c r="K69" s="197">
        <f>SUM(K3:K68)</f>
        <v>59712.679999999993</v>
      </c>
      <c r="L69" s="197">
        <f t="shared" si="1"/>
        <v>21245.91</v>
      </c>
      <c r="M69" s="197">
        <f t="shared" si="1"/>
        <v>32000.370000000003</v>
      </c>
      <c r="N69" s="197">
        <f t="shared" si="1"/>
        <v>4000</v>
      </c>
      <c r="O69" s="197">
        <f t="shared" si="1"/>
        <v>26572.500000000004</v>
      </c>
      <c r="P69" s="301">
        <f t="shared" ref="P69:W69" si="2">SUM(P3:P68)</f>
        <v>213589</v>
      </c>
      <c r="Q69" s="301">
        <f t="shared" si="2"/>
        <v>130109</v>
      </c>
      <c r="R69" s="301">
        <f t="shared" si="2"/>
        <v>65471</v>
      </c>
      <c r="S69" s="301">
        <f t="shared" si="2"/>
        <v>4185</v>
      </c>
      <c r="T69" s="301">
        <f t="shared" si="2"/>
        <v>33181</v>
      </c>
      <c r="U69" s="301">
        <f t="shared" si="2"/>
        <v>27298</v>
      </c>
      <c r="V69" s="301">
        <f t="shared" si="2"/>
        <v>231983</v>
      </c>
      <c r="W69" s="209">
        <f t="shared" si="2"/>
        <v>3721.58</v>
      </c>
      <c r="Y69" s="100" t="s">
        <v>29</v>
      </c>
      <c r="Z69" s="32">
        <f>SUM(Z4:Z67)</f>
        <v>13555</v>
      </c>
      <c r="AA69" s="32">
        <f>SUM(AA4:AA67)</f>
        <v>-16637.97</v>
      </c>
      <c r="AB69" s="101">
        <f>SUM(AB4:AB67)</f>
        <v>-3082.9700000000003</v>
      </c>
      <c r="AC69" s="11"/>
      <c r="AD69" s="100"/>
      <c r="AE69" s="57"/>
      <c r="AF69" s="102"/>
    </row>
    <row r="70" spans="1:32">
      <c r="A70" s="31"/>
      <c r="B70" s="31"/>
      <c r="C70" s="96"/>
      <c r="E70" s="96"/>
      <c r="F70" s="96"/>
      <c r="G70" s="96"/>
      <c r="H70" s="96"/>
      <c r="I70" s="96"/>
      <c r="J70" s="96"/>
      <c r="L70" s="96"/>
      <c r="M70" s="96"/>
      <c r="N70" s="96"/>
      <c r="O70" s="536"/>
      <c r="P70" s="537"/>
      <c r="Q70" s="537"/>
      <c r="R70" s="537"/>
      <c r="S70" s="537"/>
      <c r="T70" s="538"/>
      <c r="U70" s="538"/>
      <c r="V70" s="537"/>
      <c r="W70" s="96"/>
      <c r="Y70" s="31"/>
      <c r="Z70" s="95"/>
      <c r="AA70" s="95"/>
      <c r="AB70" s="95"/>
      <c r="AD70" s="31"/>
      <c r="AE70" s="24"/>
    </row>
    <row r="71" spans="1:32">
      <c r="A71" s="31"/>
      <c r="B71" s="31"/>
      <c r="C71"/>
      <c r="D71"/>
      <c r="E71"/>
      <c r="F71" s="96"/>
      <c r="G71" s="96"/>
      <c r="H71"/>
      <c r="I71"/>
      <c r="J71"/>
      <c r="K71" s="96"/>
      <c r="L71"/>
      <c r="M71"/>
      <c r="P71" s="456"/>
      <c r="Q71" s="590"/>
      <c r="R71" s="536"/>
      <c r="S71" s="536"/>
      <c r="T71" s="536"/>
      <c r="U71" s="536"/>
      <c r="V71" s="456"/>
      <c r="W71" s="641">
        <f>SUM(D69:W69)</f>
        <v>1081075.1200000001</v>
      </c>
      <c r="Z71" s="95"/>
      <c r="AA71" s="95"/>
      <c r="AB71" s="95"/>
      <c r="AD71" s="31"/>
      <c r="AE71" s="24"/>
    </row>
    <row r="72" spans="1:32">
      <c r="A72"/>
      <c r="B72"/>
      <c r="C72"/>
      <c r="E72"/>
      <c r="F72" s="96"/>
      <c r="G72" s="96"/>
      <c r="H72"/>
      <c r="I72"/>
      <c r="J72"/>
      <c r="K72"/>
      <c r="L72"/>
      <c r="M72" s="134"/>
      <c r="N72"/>
      <c r="O72" s="454"/>
      <c r="P72" s="456"/>
      <c r="Q72" s="454"/>
      <c r="R72" s="456"/>
      <c r="S72" s="456"/>
      <c r="T72" s="456"/>
      <c r="U72" s="456"/>
      <c r="V72" s="456"/>
      <c r="W72" s="281"/>
    </row>
    <row r="73" spans="1:32">
      <c r="A73"/>
      <c r="B73"/>
      <c r="C73"/>
      <c r="D73"/>
      <c r="E73"/>
      <c r="F73" s="96"/>
      <c r="G73" s="96"/>
      <c r="H73" s="2"/>
      <c r="I73" s="2"/>
      <c r="J73"/>
      <c r="K73"/>
      <c r="L73"/>
      <c r="M73"/>
      <c r="N73"/>
      <c r="O73" s="542"/>
      <c r="P73" s="455"/>
      <c r="Q73" s="454"/>
      <c r="R73" s="456"/>
      <c r="S73" s="456"/>
      <c r="T73" s="456"/>
      <c r="U73" s="456"/>
      <c r="V73" s="282"/>
      <c r="W73" s="282"/>
      <c r="X73" s="37"/>
      <c r="Y73" s="38" t="s">
        <v>135</v>
      </c>
    </row>
    <row r="74" spans="1:32">
      <c r="A74"/>
      <c r="B74"/>
      <c r="C74"/>
      <c r="D74"/>
      <c r="E74"/>
      <c r="F74" s="96"/>
      <c r="G74" s="96"/>
      <c r="H74"/>
      <c r="I74" s="134"/>
      <c r="J74"/>
      <c r="K74"/>
      <c r="L74"/>
      <c r="M74"/>
      <c r="N74"/>
      <c r="O74"/>
      <c r="P74"/>
      <c r="Q74"/>
      <c r="V74" s="204" t="s">
        <v>136</v>
      </c>
      <c r="W74" s="279">
        <f>SUM(H69:O69)</f>
        <v>360237.54</v>
      </c>
      <c r="X74" s="37"/>
      <c r="Y74" s="41">
        <f>W74/W77</f>
        <v>0.33322156188369223</v>
      </c>
    </row>
    <row r="75" spans="1:32">
      <c r="A75"/>
      <c r="B75"/>
      <c r="C75"/>
      <c r="D75"/>
      <c r="E75"/>
      <c r="F75" s="96"/>
      <c r="G75" s="96"/>
      <c r="H75"/>
      <c r="I75"/>
      <c r="J75"/>
      <c r="K75"/>
      <c r="L75"/>
      <c r="M75"/>
      <c r="N75"/>
      <c r="O75"/>
      <c r="P75"/>
      <c r="Q75"/>
      <c r="V75" s="204" t="s">
        <v>137</v>
      </c>
      <c r="W75" s="279">
        <f>SUM(P69:W69)</f>
        <v>709537.58</v>
      </c>
      <c r="X75" s="37"/>
      <c r="Y75" s="41" t="e">
        <f t="shared" ref="Y75:Y76" si="3">W75/W78</f>
        <v>#DIV/0!</v>
      </c>
    </row>
    <row r="76" spans="1:32">
      <c r="A76"/>
      <c r="B76"/>
      <c r="C76"/>
      <c r="D76"/>
      <c r="E76"/>
      <c r="F76" s="96"/>
      <c r="G76" s="96"/>
      <c r="H76"/>
      <c r="I76"/>
      <c r="J76"/>
      <c r="K76"/>
      <c r="L76"/>
      <c r="M76"/>
      <c r="N76"/>
      <c r="O76"/>
      <c r="P76"/>
      <c r="Q76"/>
      <c r="V76" s="204" t="s">
        <v>138</v>
      </c>
      <c r="W76" s="279">
        <f>SUM(D69:E69)</f>
        <v>11300</v>
      </c>
      <c r="X76" s="37"/>
      <c r="Y76" s="41" t="e">
        <f t="shared" si="3"/>
        <v>#DIV/0!</v>
      </c>
    </row>
    <row r="77" spans="1:32">
      <c r="A77"/>
      <c r="B77"/>
      <c r="C77"/>
      <c r="D77"/>
      <c r="E77"/>
      <c r="F77" s="96"/>
      <c r="G77" s="96"/>
      <c r="H77"/>
      <c r="I77"/>
      <c r="J77"/>
      <c r="K77"/>
      <c r="L77"/>
      <c r="M77"/>
      <c r="N77"/>
      <c r="O77"/>
      <c r="P77"/>
      <c r="Q77"/>
      <c r="V77" s="204" t="s">
        <v>56</v>
      </c>
      <c r="W77" s="642">
        <f>SUM(W74:W76)</f>
        <v>1081075.1199999999</v>
      </c>
      <c r="X77" s="37"/>
      <c r="Y77" s="43"/>
    </row>
    <row r="78" spans="1:32">
      <c r="A78"/>
      <c r="B78"/>
      <c r="C78"/>
      <c r="D78"/>
      <c r="E78"/>
      <c r="F78" s="96"/>
      <c r="G78" s="96"/>
      <c r="H78"/>
      <c r="I78"/>
      <c r="J78"/>
      <c r="K78"/>
      <c r="L78"/>
      <c r="M78"/>
      <c r="N78"/>
      <c r="O78"/>
      <c r="P78"/>
      <c r="Q78"/>
      <c r="V78" s="35"/>
      <c r="W78" s="36"/>
      <c r="X78" s="37"/>
      <c r="Y78" s="37"/>
    </row>
    <row r="79" spans="1:32">
      <c r="A79"/>
      <c r="B79"/>
      <c r="C79"/>
      <c r="D79"/>
      <c r="E79"/>
      <c r="F79" s="96"/>
      <c r="G79" s="96"/>
      <c r="H79"/>
      <c r="I79"/>
      <c r="J79"/>
      <c r="K79"/>
      <c r="L79"/>
      <c r="M79"/>
      <c r="N79"/>
      <c r="O79"/>
      <c r="P79"/>
      <c r="Q79"/>
      <c r="V79" s="35"/>
      <c r="W79" s="44">
        <f>W77-W71</f>
        <v>0</v>
      </c>
      <c r="X79" s="37"/>
      <c r="Y79" s="37"/>
    </row>
    <row r="80" spans="1:32">
      <c r="A80"/>
      <c r="B80"/>
      <c r="C80"/>
      <c r="D80"/>
      <c r="E80"/>
      <c r="F80" s="96"/>
      <c r="G80" s="96"/>
      <c r="H80"/>
      <c r="I80"/>
      <c r="J80"/>
      <c r="K80"/>
      <c r="L80"/>
      <c r="M80"/>
      <c r="N80"/>
      <c r="O80"/>
      <c r="P80"/>
      <c r="Q80"/>
      <c r="V80" s="456"/>
      <c r="W80" s="281"/>
    </row>
    <row r="81" spans="1:23">
      <c r="A81"/>
      <c r="B81"/>
      <c r="C81"/>
      <c r="D81"/>
      <c r="E81"/>
      <c r="F81" s="96"/>
      <c r="G81" s="96"/>
      <c r="H81"/>
      <c r="I81"/>
      <c r="J81"/>
      <c r="K81"/>
      <c r="L81"/>
      <c r="M81"/>
      <c r="N81"/>
      <c r="O81"/>
      <c r="P81"/>
      <c r="Q81"/>
      <c r="V81" s="456"/>
      <c r="W81" s="534"/>
    </row>
    <row r="82" spans="1:2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V82" s="456"/>
      <c r="W82" s="281"/>
    </row>
    <row r="83" spans="1:23">
      <c r="A83"/>
      <c r="B83"/>
      <c r="C83"/>
      <c r="D83"/>
      <c r="E83" s="175"/>
      <c r="F83"/>
      <c r="G83"/>
      <c r="H83"/>
      <c r="I83"/>
      <c r="J83"/>
      <c r="K83"/>
      <c r="L83"/>
      <c r="M83"/>
      <c r="N83"/>
      <c r="O83"/>
      <c r="P83"/>
      <c r="Q83"/>
    </row>
    <row r="84" spans="1:23">
      <c r="A84"/>
      <c r="B84"/>
      <c r="C84"/>
      <c r="D84"/>
      <c r="F84"/>
      <c r="G84"/>
      <c r="H84"/>
      <c r="I84"/>
      <c r="J84"/>
      <c r="K84"/>
      <c r="L84"/>
      <c r="M84"/>
      <c r="N84"/>
      <c r="O84"/>
      <c r="P84"/>
      <c r="Q84"/>
      <c r="V84" s="456"/>
    </row>
    <row r="85" spans="1:23">
      <c r="A85"/>
      <c r="B85"/>
      <c r="C85"/>
      <c r="D85"/>
      <c r="F85"/>
      <c r="G85"/>
      <c r="H85"/>
      <c r="I85"/>
      <c r="J85"/>
      <c r="K85"/>
      <c r="L85"/>
      <c r="M85"/>
      <c r="N85"/>
      <c r="O85"/>
      <c r="P85"/>
      <c r="Q85"/>
      <c r="V85" s="456"/>
    </row>
    <row r="86" spans="1:2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V86" s="456"/>
    </row>
    <row r="87" spans="1:23">
      <c r="A87"/>
      <c r="B87"/>
      <c r="G87"/>
      <c r="H87"/>
      <c r="I87"/>
      <c r="J87"/>
      <c r="K87"/>
      <c r="L87"/>
      <c r="M87"/>
      <c r="N87"/>
      <c r="O87"/>
      <c r="P87"/>
      <c r="Q87"/>
    </row>
    <row r="88" spans="1:23">
      <c r="A88"/>
      <c r="B88"/>
      <c r="G88"/>
      <c r="H88"/>
      <c r="I88"/>
      <c r="J88"/>
      <c r="K88"/>
      <c r="L88"/>
      <c r="M88"/>
      <c r="N88"/>
      <c r="O88"/>
      <c r="P88"/>
      <c r="Q88"/>
      <c r="V88" s="456"/>
      <c r="W88" s="535"/>
    </row>
    <row r="89" spans="1:23">
      <c r="A89"/>
      <c r="B89"/>
      <c r="C89"/>
      <c r="G89"/>
      <c r="H89"/>
      <c r="I89"/>
      <c r="J89"/>
      <c r="K89"/>
      <c r="L89"/>
      <c r="M89"/>
      <c r="N89"/>
      <c r="O89"/>
      <c r="P89"/>
      <c r="Q89"/>
    </row>
    <row r="90" spans="1:23">
      <c r="A90"/>
      <c r="B90"/>
      <c r="G90"/>
      <c r="H90"/>
      <c r="I90"/>
      <c r="J90"/>
      <c r="K90"/>
      <c r="L90"/>
      <c r="M90"/>
      <c r="N90"/>
      <c r="O90"/>
      <c r="P90"/>
      <c r="Q90"/>
    </row>
    <row r="91" spans="1:23">
      <c r="A91"/>
      <c r="B91"/>
      <c r="G91"/>
      <c r="H91"/>
      <c r="I91"/>
      <c r="J91"/>
      <c r="K91"/>
      <c r="L91"/>
      <c r="M91"/>
      <c r="N91"/>
      <c r="O91"/>
      <c r="P91"/>
      <c r="Q91"/>
    </row>
    <row r="92" spans="1:23">
      <c r="A92"/>
      <c r="B92"/>
      <c r="G92"/>
      <c r="H92"/>
      <c r="I92"/>
      <c r="J92"/>
      <c r="K92"/>
      <c r="L92"/>
      <c r="M92"/>
      <c r="N92"/>
      <c r="O92"/>
      <c r="P92"/>
      <c r="Q92"/>
    </row>
    <row r="93" spans="1:23">
      <c r="A93"/>
      <c r="B93"/>
      <c r="E93"/>
      <c r="G93"/>
      <c r="H93"/>
      <c r="I93"/>
      <c r="J93"/>
      <c r="K93"/>
      <c r="L93"/>
      <c r="M93"/>
      <c r="N93"/>
      <c r="O93"/>
      <c r="P93"/>
      <c r="Q93"/>
    </row>
    <row r="94" spans="1:23">
      <c r="A94"/>
      <c r="B94"/>
      <c r="G94"/>
      <c r="H94"/>
      <c r="I94"/>
      <c r="J94"/>
      <c r="K94"/>
      <c r="L94"/>
      <c r="M94"/>
      <c r="N94"/>
      <c r="O94"/>
      <c r="P94"/>
      <c r="Q94"/>
    </row>
    <row r="95" spans="1:23">
      <c r="A95"/>
      <c r="B95"/>
      <c r="C95"/>
      <c r="D95"/>
      <c r="F95"/>
      <c r="G95"/>
      <c r="H95"/>
      <c r="I95"/>
      <c r="J95"/>
      <c r="K95"/>
      <c r="L95"/>
      <c r="M95"/>
      <c r="N95"/>
      <c r="O95"/>
      <c r="P95"/>
      <c r="Q95"/>
    </row>
    <row r="96" spans="1:23">
      <c r="B96"/>
      <c r="C96"/>
      <c r="D96"/>
      <c r="E96"/>
      <c r="F96"/>
      <c r="G96"/>
      <c r="H96"/>
      <c r="I96"/>
      <c r="J96"/>
      <c r="K96"/>
      <c r="L96"/>
      <c r="M96"/>
    </row>
    <row r="97" spans="2:13">
      <c r="B97"/>
      <c r="C97"/>
      <c r="D97"/>
      <c r="E97"/>
      <c r="F97"/>
      <c r="G97"/>
      <c r="H97"/>
      <c r="I97"/>
      <c r="J97"/>
      <c r="K97"/>
      <c r="L97"/>
      <c r="M97"/>
    </row>
    <row r="98" spans="2:13">
      <c r="B98"/>
      <c r="C98"/>
      <c r="D98"/>
      <c r="E98"/>
      <c r="F98"/>
      <c r="G98"/>
      <c r="H98"/>
      <c r="I98"/>
      <c r="J98"/>
      <c r="K98"/>
      <c r="L98"/>
      <c r="M98"/>
    </row>
    <row r="99" spans="2:13">
      <c r="B99"/>
      <c r="C99"/>
      <c r="D99"/>
      <c r="E99"/>
      <c r="F99"/>
      <c r="G99"/>
      <c r="H99"/>
      <c r="I99"/>
      <c r="J99"/>
      <c r="K99"/>
      <c r="L99"/>
      <c r="M99"/>
    </row>
    <row r="100" spans="2:13">
      <c r="B100"/>
      <c r="C100"/>
      <c r="D100"/>
      <c r="E100"/>
      <c r="F100"/>
      <c r="G100"/>
      <c r="H100"/>
      <c r="I100"/>
      <c r="J100"/>
      <c r="K100"/>
      <c r="L100"/>
      <c r="M100"/>
    </row>
    <row r="101" spans="2:13">
      <c r="B101"/>
      <c r="C101"/>
      <c r="D101"/>
      <c r="E101"/>
      <c r="F101"/>
      <c r="G101"/>
      <c r="H101"/>
      <c r="I101"/>
      <c r="J101"/>
      <c r="K101"/>
      <c r="L101"/>
      <c r="M101"/>
    </row>
    <row r="102" spans="2:13">
      <c r="B102"/>
      <c r="C102"/>
      <c r="D102"/>
      <c r="E102"/>
      <c r="F102"/>
      <c r="G102"/>
      <c r="K102"/>
    </row>
    <row r="103" spans="2:13">
      <c r="B103"/>
      <c r="C103"/>
      <c r="D103"/>
      <c r="E103"/>
      <c r="F103"/>
      <c r="G103"/>
    </row>
    <row r="104" spans="2:13">
      <c r="B104"/>
      <c r="C104"/>
      <c r="D104"/>
      <c r="E104"/>
      <c r="F104"/>
      <c r="G104"/>
    </row>
    <row r="105" spans="2:13">
      <c r="B105"/>
      <c r="C105"/>
      <c r="D105"/>
      <c r="E105"/>
      <c r="F105"/>
      <c r="G105"/>
    </row>
    <row r="106" spans="2:13">
      <c r="B106"/>
      <c r="C106"/>
      <c r="D106"/>
      <c r="E106"/>
      <c r="F106"/>
      <c r="G106"/>
    </row>
    <row r="107" spans="2:13">
      <c r="B107"/>
      <c r="C107"/>
      <c r="D107"/>
      <c r="E107"/>
      <c r="F107"/>
      <c r="G107"/>
    </row>
    <row r="108" spans="2:13">
      <c r="B108"/>
      <c r="C108"/>
      <c r="D108"/>
      <c r="E108"/>
      <c r="F108"/>
      <c r="G108"/>
    </row>
    <row r="109" spans="2:13">
      <c r="B109"/>
      <c r="C109"/>
      <c r="D109"/>
      <c r="E109"/>
      <c r="F109"/>
      <c r="G109"/>
    </row>
    <row r="110" spans="2:13">
      <c r="B110"/>
      <c r="C110"/>
      <c r="D110"/>
      <c r="E110"/>
      <c r="F110"/>
      <c r="G110"/>
    </row>
    <row r="111" spans="2:13">
      <c r="B111"/>
      <c r="C111"/>
      <c r="D111"/>
      <c r="E111"/>
      <c r="F111"/>
      <c r="G111"/>
    </row>
    <row r="112" spans="2:13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  <row r="136" spans="2:7">
      <c r="B136"/>
      <c r="C136"/>
      <c r="D136"/>
      <c r="E136"/>
      <c r="F136"/>
      <c r="G136"/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  <row r="141" spans="2:7">
      <c r="B141"/>
      <c r="C141"/>
      <c r="D141"/>
      <c r="E141"/>
      <c r="F141"/>
      <c r="G141"/>
    </row>
    <row r="142" spans="2:7">
      <c r="B142"/>
      <c r="C142"/>
      <c r="D142"/>
      <c r="E142"/>
      <c r="F142"/>
      <c r="G142"/>
    </row>
    <row r="143" spans="2:7">
      <c r="B143"/>
      <c r="C143"/>
      <c r="D143"/>
      <c r="E143"/>
      <c r="F143"/>
      <c r="G143"/>
    </row>
    <row r="144" spans="2:7">
      <c r="B144"/>
      <c r="C144"/>
      <c r="D144"/>
      <c r="E144"/>
      <c r="F144"/>
      <c r="G144"/>
    </row>
    <row r="145" spans="2:7">
      <c r="B145"/>
      <c r="C145"/>
      <c r="D145"/>
      <c r="E145"/>
      <c r="F145"/>
      <c r="G145"/>
    </row>
    <row r="146" spans="2:7">
      <c r="B146"/>
      <c r="C146"/>
      <c r="D146"/>
      <c r="E146"/>
      <c r="F146"/>
      <c r="G146"/>
    </row>
    <row r="147" spans="2:7">
      <c r="B147"/>
      <c r="C147"/>
      <c r="D147"/>
      <c r="E147"/>
      <c r="F147"/>
      <c r="G147"/>
    </row>
    <row r="148" spans="2:7">
      <c r="B148"/>
      <c r="C148"/>
      <c r="D148"/>
      <c r="E148"/>
      <c r="F148"/>
      <c r="G148"/>
    </row>
    <row r="149" spans="2:7">
      <c r="B149"/>
      <c r="C149"/>
      <c r="D149"/>
      <c r="E149"/>
      <c r="F149"/>
      <c r="G149"/>
    </row>
    <row r="150" spans="2:7">
      <c r="B150"/>
      <c r="C150"/>
      <c r="D150"/>
      <c r="E150"/>
      <c r="F150"/>
      <c r="G150"/>
    </row>
    <row r="151" spans="2:7">
      <c r="B151"/>
      <c r="C151"/>
      <c r="D151"/>
      <c r="E151"/>
      <c r="F151"/>
      <c r="G151"/>
    </row>
    <row r="152" spans="2:7">
      <c r="B152"/>
      <c r="C152"/>
      <c r="D152"/>
      <c r="E152"/>
      <c r="F152"/>
      <c r="G152"/>
    </row>
    <row r="153" spans="2:7">
      <c r="B153"/>
      <c r="C153"/>
      <c r="D153"/>
      <c r="E153"/>
      <c r="F153"/>
      <c r="G153"/>
    </row>
    <row r="154" spans="2:7">
      <c r="B154"/>
      <c r="C154"/>
      <c r="D154"/>
      <c r="E154"/>
      <c r="F154"/>
      <c r="G154"/>
    </row>
    <row r="155" spans="2:7">
      <c r="B155"/>
      <c r="C155"/>
      <c r="D155"/>
      <c r="E155"/>
      <c r="F155"/>
      <c r="G155"/>
    </row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AG140"/>
  <sheetViews>
    <sheetView zoomScale="55" zoomScaleNormal="55" zoomScalePageLayoutView="85" workbookViewId="0">
      <pane ySplit="2" topLeftCell="A3" activePane="bottomLeft" state="frozen"/>
      <selection pane="bottomLeft" activeCell="T7" sqref="T7"/>
    </sheetView>
  </sheetViews>
  <sheetFormatPr defaultColWidth="8.85546875" defaultRowHeight="12.75" customHeight="1"/>
  <cols>
    <col min="1" max="1" width="12.85546875" style="2" customWidth="1"/>
    <col min="2" max="2" width="25" style="2" customWidth="1"/>
    <col min="3" max="3" width="15.42578125" style="2" customWidth="1"/>
    <col min="4" max="4" width="12" style="2" bestFit="1" customWidth="1"/>
    <col min="5" max="5" width="12.42578125" style="2" customWidth="1"/>
    <col min="6" max="6" width="9.85546875" style="2" customWidth="1"/>
    <col min="7" max="7" width="9.7109375" style="2" bestFit="1" customWidth="1"/>
    <col min="8" max="9" width="13.140625" style="105" bestFit="1" customWidth="1"/>
    <col min="10" max="10" width="14.28515625" style="105" bestFit="1" customWidth="1"/>
    <col min="11" max="13" width="13.140625" style="105" bestFit="1" customWidth="1"/>
    <col min="14" max="14" width="12" style="105" bestFit="1" customWidth="1"/>
    <col min="15" max="15" width="13.140625" style="105" bestFit="1" customWidth="1"/>
    <col min="16" max="17" width="14.28515625" style="105" bestFit="1" customWidth="1"/>
    <col min="18" max="18" width="13.140625" style="105" bestFit="1" customWidth="1"/>
    <col min="19" max="19" width="12" style="105" bestFit="1" customWidth="1"/>
    <col min="20" max="21" width="13.140625" style="105" bestFit="1" customWidth="1"/>
    <col min="22" max="22" width="17.85546875" style="105" bestFit="1" customWidth="1"/>
    <col min="23" max="23" width="15.5703125" style="33" bestFit="1" customWidth="1"/>
    <col min="24" max="24" width="6.42578125" style="2" customWidth="1"/>
    <col min="25" max="25" width="12.42578125" style="2" customWidth="1"/>
    <col min="26" max="26" width="14.7109375" style="2" customWidth="1"/>
    <col min="27" max="27" width="12.42578125" style="2" bestFit="1" customWidth="1"/>
    <col min="28" max="28" width="11.7109375" style="2" bestFit="1" customWidth="1"/>
    <col min="29" max="29" width="5.28515625" style="2" customWidth="1"/>
    <col min="30" max="30" width="19.7109375" style="2" bestFit="1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695" t="s">
        <v>2</v>
      </c>
      <c r="E1" s="723"/>
      <c r="F1" s="696" t="s">
        <v>111</v>
      </c>
      <c r="G1" s="724"/>
      <c r="H1" s="725" t="s">
        <v>112</v>
      </c>
      <c r="I1" s="725"/>
      <c r="J1" s="725"/>
      <c r="K1" s="725"/>
      <c r="L1" s="725"/>
      <c r="M1" s="725"/>
      <c r="N1" s="725"/>
      <c r="O1" s="726"/>
      <c r="P1" s="727" t="s">
        <v>113</v>
      </c>
      <c r="Q1" s="728"/>
      <c r="R1" s="728"/>
      <c r="S1" s="728"/>
      <c r="T1" s="728"/>
      <c r="U1" s="728"/>
      <c r="V1" s="729"/>
      <c r="W1" s="112" t="s">
        <v>111</v>
      </c>
    </row>
    <row r="2" spans="1:33">
      <c r="A2" s="331" t="s">
        <v>91</v>
      </c>
      <c r="B2" s="31" t="s">
        <v>114</v>
      </c>
      <c r="C2" s="63" t="s">
        <v>115</v>
      </c>
      <c r="D2" s="406" t="s">
        <v>200</v>
      </c>
      <c r="E2" s="407" t="s">
        <v>117</v>
      </c>
      <c r="F2" s="408" t="s">
        <v>118</v>
      </c>
      <c r="G2" s="409" t="s">
        <v>118</v>
      </c>
      <c r="H2" s="4" t="s">
        <v>27</v>
      </c>
      <c r="I2" s="4" t="s">
        <v>66</v>
      </c>
      <c r="J2" s="4" t="s">
        <v>67</v>
      </c>
      <c r="K2" s="4" t="s">
        <v>25</v>
      </c>
      <c r="L2" s="4" t="s">
        <v>23</v>
      </c>
      <c r="M2" s="4" t="s">
        <v>119</v>
      </c>
      <c r="N2" s="4" t="s">
        <v>16</v>
      </c>
      <c r="O2" s="5" t="s">
        <v>69</v>
      </c>
      <c r="P2" s="6" t="s">
        <v>120</v>
      </c>
      <c r="Q2" s="7" t="s">
        <v>50</v>
      </c>
      <c r="R2" s="7" t="s">
        <v>121</v>
      </c>
      <c r="S2" s="7" t="s">
        <v>53</v>
      </c>
      <c r="T2" s="7" t="s">
        <v>122</v>
      </c>
      <c r="U2" s="7" t="s">
        <v>123</v>
      </c>
      <c r="V2" s="8" t="s">
        <v>124</v>
      </c>
      <c r="W2" s="206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283"/>
      <c r="B3" s="393"/>
      <c r="C3" s="389"/>
      <c r="D3" s="395">
        <v>2000</v>
      </c>
      <c r="E3" s="396">
        <v>9100</v>
      </c>
      <c r="F3" s="397">
        <v>0</v>
      </c>
      <c r="G3" s="398">
        <v>0</v>
      </c>
      <c r="H3" s="395">
        <v>14645.080000000002</v>
      </c>
      <c r="I3" s="395">
        <v>55015.000000000007</v>
      </c>
      <c r="J3" s="395">
        <v>152796</v>
      </c>
      <c r="K3" s="395">
        <v>67208.709999999992</v>
      </c>
      <c r="L3" s="395">
        <v>20985.75</v>
      </c>
      <c r="M3" s="395">
        <v>30000.370000000003</v>
      </c>
      <c r="N3" s="395">
        <v>4000</v>
      </c>
      <c r="O3" s="396">
        <v>25572.500000000004</v>
      </c>
      <c r="P3" s="579">
        <v>210453</v>
      </c>
      <c r="Q3" s="395">
        <v>130109</v>
      </c>
      <c r="R3" s="395">
        <v>64871</v>
      </c>
      <c r="S3" s="395">
        <v>4185</v>
      </c>
      <c r="T3" s="395">
        <v>33181</v>
      </c>
      <c r="U3" s="395">
        <v>27298</v>
      </c>
      <c r="V3" s="396">
        <v>229377</v>
      </c>
      <c r="W3" s="580">
        <v>3126.9</v>
      </c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284">
        <v>46054</v>
      </c>
      <c r="B4" s="288" t="s">
        <v>139</v>
      </c>
      <c r="C4" s="186" t="s">
        <v>22</v>
      </c>
      <c r="D4" s="187"/>
      <c r="E4" s="377">
        <v>-3688</v>
      </c>
      <c r="F4" s="552"/>
      <c r="G4" s="553"/>
      <c r="H4" s="188"/>
      <c r="I4" s="188"/>
      <c r="J4" s="188">
        <v>1000</v>
      </c>
      <c r="K4" s="188">
        <v>503.97</v>
      </c>
      <c r="L4" s="188"/>
      <c r="M4" s="188"/>
      <c r="N4" s="188"/>
      <c r="O4" s="188"/>
      <c r="P4" s="326"/>
      <c r="Q4" s="188"/>
      <c r="R4" s="188"/>
      <c r="S4" s="188"/>
      <c r="T4" s="188"/>
      <c r="U4" s="188"/>
      <c r="V4" s="188"/>
      <c r="W4" s="323"/>
      <c r="Y4" s="18" t="s">
        <v>8</v>
      </c>
      <c r="Z4" s="23">
        <f>Summary!N21</f>
        <v>480</v>
      </c>
      <c r="AA4" s="23">
        <f>SUMIF($C$2:$C$51,Y4,$F$2:$F$51)+SUMIF($C$2:$C$51,Y4,$G$2:$G$51)</f>
        <v>-271</v>
      </c>
      <c r="AB4" s="26">
        <f t="shared" ref="AB4:AB21" si="0">Z4+AA4</f>
        <v>209</v>
      </c>
      <c r="AD4" s="18"/>
      <c r="AE4" s="19"/>
      <c r="AF4" s="103"/>
    </row>
    <row r="5" spans="1:33" s="342" customFormat="1">
      <c r="A5" s="340">
        <v>46054</v>
      </c>
      <c r="B5" s="341" t="s">
        <v>140</v>
      </c>
      <c r="C5" s="186" t="s">
        <v>12</v>
      </c>
      <c r="D5" s="187"/>
      <c r="E5" s="377">
        <v>-265</v>
      </c>
      <c r="F5" s="326"/>
      <c r="G5" s="327"/>
      <c r="H5" s="188"/>
      <c r="I5" s="188"/>
      <c r="J5" s="188"/>
      <c r="K5" s="188"/>
      <c r="L5" s="188"/>
      <c r="M5" s="188"/>
      <c r="N5" s="188"/>
      <c r="O5" s="188"/>
      <c r="P5" s="326"/>
      <c r="Q5" s="188"/>
      <c r="R5" s="188"/>
      <c r="S5" s="188"/>
      <c r="T5" s="188"/>
      <c r="U5" s="188"/>
      <c r="V5" s="188"/>
      <c r="W5" s="323"/>
      <c r="Y5" s="343" t="s">
        <v>9</v>
      </c>
      <c r="Z5" s="23">
        <f>Summary!N22</f>
        <v>335</v>
      </c>
      <c r="AA5" s="23">
        <f>SUMIF($C$2:$C$51,Y5,$F$2:$F$51)+SUMIF($C$2:$C$51,Y5,$G$2:$G$51)</f>
        <v>-342</v>
      </c>
      <c r="AB5" s="26">
        <f t="shared" si="0"/>
        <v>-7</v>
      </c>
      <c r="AD5" s="390" t="s">
        <v>128</v>
      </c>
      <c r="AE5" s="19"/>
      <c r="AF5" s="344"/>
    </row>
    <row r="6" spans="1:33" s="342" customFormat="1">
      <c r="A6" s="340">
        <v>46054</v>
      </c>
      <c r="B6" s="341" t="s">
        <v>24</v>
      </c>
      <c r="C6" s="186" t="s">
        <v>24</v>
      </c>
      <c r="D6" s="187"/>
      <c r="E6" s="377">
        <v>-500</v>
      </c>
      <c r="F6" s="326"/>
      <c r="G6" s="327"/>
      <c r="H6" s="188"/>
      <c r="I6" s="188"/>
      <c r="J6" s="188"/>
      <c r="K6" s="188"/>
      <c r="L6" s="188"/>
      <c r="M6" s="188"/>
      <c r="N6" s="188"/>
      <c r="O6" s="188"/>
      <c r="P6" s="326"/>
      <c r="Q6" s="188"/>
      <c r="R6" s="188"/>
      <c r="S6" s="188"/>
      <c r="T6" s="188"/>
      <c r="U6" s="188"/>
      <c r="V6" s="188"/>
      <c r="W6" s="323"/>
      <c r="Y6" s="343" t="s">
        <v>10</v>
      </c>
      <c r="Z6" s="23">
        <f>Summary!N23</f>
        <v>20</v>
      </c>
      <c r="AA6" s="23">
        <f>SUMIF($C$2:$C$51,Y6,$F$2:$F$51)+SUMIF($C$2:$C$51,Y6,$G$2:$G$51)</f>
        <v>0</v>
      </c>
      <c r="AB6" s="26">
        <f t="shared" si="0"/>
        <v>20</v>
      </c>
      <c r="AD6" s="343" t="s">
        <v>49</v>
      </c>
      <c r="AE6" s="22"/>
      <c r="AF6" s="344"/>
    </row>
    <row r="7" spans="1:33" s="342" customFormat="1">
      <c r="A7" s="284">
        <v>46054</v>
      </c>
      <c r="B7" s="289" t="s">
        <v>22</v>
      </c>
      <c r="C7" s="186" t="s">
        <v>22</v>
      </c>
      <c r="D7" s="187"/>
      <c r="E7" s="377">
        <v>-4250</v>
      </c>
      <c r="F7" s="326"/>
      <c r="G7" s="327"/>
      <c r="H7" s="188"/>
      <c r="I7" s="188"/>
      <c r="J7" s="188"/>
      <c r="K7" s="188"/>
      <c r="L7" s="188"/>
      <c r="M7" s="188"/>
      <c r="N7" s="188"/>
      <c r="O7" s="188"/>
      <c r="P7" s="326"/>
      <c r="Q7" s="188"/>
      <c r="R7" s="188"/>
      <c r="S7" s="188"/>
      <c r="T7" s="188"/>
      <c r="U7" s="188"/>
      <c r="V7" s="188"/>
      <c r="W7" s="323"/>
      <c r="Y7" s="345" t="s">
        <v>11</v>
      </c>
      <c r="Z7" s="23">
        <f>Summary!N24</f>
        <v>300</v>
      </c>
      <c r="AA7" s="23">
        <f>SUMIF($C$2:$C$51,Y7,$F$2:$F$51)+SUMIF($C$2:$C$51,Y7,$G$2:$G$51)</f>
        <v>-150</v>
      </c>
      <c r="AB7" s="26">
        <f t="shared" si="0"/>
        <v>150</v>
      </c>
      <c r="AD7" s="18" t="s">
        <v>50</v>
      </c>
      <c r="AE7" s="22"/>
      <c r="AF7" s="344"/>
    </row>
    <row r="8" spans="1:33" s="342" customFormat="1">
      <c r="A8" s="284">
        <v>46054</v>
      </c>
      <c r="B8" s="289" t="s">
        <v>22</v>
      </c>
      <c r="C8" s="186" t="s">
        <v>22</v>
      </c>
      <c r="D8" s="187"/>
      <c r="E8" s="377">
        <v>3800</v>
      </c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88"/>
      <c r="W8" s="323"/>
      <c r="Y8" s="343" t="s">
        <v>12</v>
      </c>
      <c r="Z8" s="23">
        <f>Summary!N25</f>
        <v>700</v>
      </c>
      <c r="AA8" s="23">
        <f>SUMIF($C$2:$C$51,Y8,$F$2:$F$51)+SUMIF($C$2:$C$51,Y8,$G$2:$G$51)+E5+E33+E39</f>
        <v>-687.74</v>
      </c>
      <c r="AB8" s="26">
        <f t="shared" si="0"/>
        <v>12.259999999999991</v>
      </c>
      <c r="AD8" s="18" t="s">
        <v>131</v>
      </c>
      <c r="AE8" s="23">
        <f>R32</f>
        <v>300</v>
      </c>
      <c r="AF8" s="344"/>
    </row>
    <row r="9" spans="1:33">
      <c r="A9" s="284">
        <v>46054</v>
      </c>
      <c r="B9" s="289" t="s">
        <v>170</v>
      </c>
      <c r="C9" s="299" t="s">
        <v>170</v>
      </c>
      <c r="D9" s="188"/>
      <c r="E9" s="377">
        <v>5000</v>
      </c>
      <c r="F9" s="326"/>
      <c r="G9" s="327"/>
      <c r="H9" s="188"/>
      <c r="I9" s="188"/>
      <c r="J9" s="188"/>
      <c r="K9" s="188"/>
      <c r="L9" s="188"/>
      <c r="M9" s="188"/>
      <c r="N9" s="188"/>
      <c r="O9" s="188"/>
      <c r="P9" s="326"/>
      <c r="Q9" s="188"/>
      <c r="R9" s="188"/>
      <c r="S9" s="188"/>
      <c r="T9" s="188"/>
      <c r="U9" s="188"/>
      <c r="V9" s="564"/>
      <c r="W9" s="323"/>
      <c r="Y9" s="18" t="s">
        <v>13</v>
      </c>
      <c r="Z9" s="23">
        <f>Summary!N26</f>
        <v>1300</v>
      </c>
      <c r="AA9" s="23">
        <f>SUMIF($C$2:$C$51,Y9,$F$2:$F$51)+SUMIF($C$2:$C$51,Y9,$G$2:$G$51)</f>
        <v>-1495</v>
      </c>
      <c r="AB9" s="26">
        <f t="shared" si="0"/>
        <v>-195</v>
      </c>
      <c r="AD9" s="18" t="s">
        <v>53</v>
      </c>
      <c r="AE9" s="22"/>
      <c r="AF9" s="20"/>
    </row>
    <row r="10" spans="1:33">
      <c r="A10" s="284">
        <v>46054</v>
      </c>
      <c r="B10" s="289" t="s">
        <v>28</v>
      </c>
      <c r="C10" s="186" t="s">
        <v>28</v>
      </c>
      <c r="D10" s="187"/>
      <c r="E10" s="377">
        <v>-880</v>
      </c>
      <c r="F10" s="326"/>
      <c r="G10" s="327"/>
      <c r="H10" s="188"/>
      <c r="I10" s="188"/>
      <c r="J10" s="188"/>
      <c r="K10" s="188"/>
      <c r="L10" s="188"/>
      <c r="M10" s="188"/>
      <c r="N10" s="188"/>
      <c r="O10" s="188"/>
      <c r="P10" s="326"/>
      <c r="Q10" s="188"/>
      <c r="R10" s="188"/>
      <c r="S10" s="188"/>
      <c r="T10" s="188"/>
      <c r="U10" s="188"/>
      <c r="V10" s="188"/>
      <c r="W10" s="323"/>
      <c r="Y10" s="18" t="s">
        <v>14</v>
      </c>
      <c r="Z10" s="23">
        <f>Summary!N27</f>
        <v>150</v>
      </c>
      <c r="AA10" s="23">
        <f>SUMIF($C$2:$C$51,Y10,$F$2:$F$51)+SUMIF($C$2:$C$51,Y10,$G$2:$G$51)+E24</f>
        <v>-435</v>
      </c>
      <c r="AB10" s="26">
        <f t="shared" si="0"/>
        <v>-285</v>
      </c>
      <c r="AD10" s="18" t="s">
        <v>124</v>
      </c>
      <c r="AE10" s="22"/>
      <c r="AF10" s="20"/>
    </row>
    <row r="11" spans="1:33">
      <c r="A11" s="284">
        <v>46056</v>
      </c>
      <c r="B11" s="289" t="s">
        <v>170</v>
      </c>
      <c r="C11" s="299" t="s">
        <v>170</v>
      </c>
      <c r="D11" s="377"/>
      <c r="E11" s="379">
        <v>378</v>
      </c>
      <c r="F11" s="378"/>
      <c r="G11" s="379"/>
      <c r="H11" s="377"/>
      <c r="I11" s="377"/>
      <c r="J11" s="377"/>
      <c r="K11" s="377"/>
      <c r="L11" s="377"/>
      <c r="M11" s="377"/>
      <c r="N11" s="377"/>
      <c r="O11" s="379"/>
      <c r="P11" s="378"/>
      <c r="Q11" s="377"/>
      <c r="R11" s="377"/>
      <c r="S11" s="377"/>
      <c r="T11" s="377"/>
      <c r="U11" s="377"/>
      <c r="V11" s="379"/>
      <c r="W11" s="399"/>
      <c r="Y11" s="18" t="s">
        <v>15</v>
      </c>
      <c r="Z11" s="23">
        <f>Summary!N28</f>
        <v>200</v>
      </c>
      <c r="AA11" s="23">
        <f>SUMIF($C$2:$C$51,Y11,$F$2:$F$51)+SUMIF($C$2:$C$51,Y11,$G$2:$G$51)</f>
        <v>-197.94</v>
      </c>
      <c r="AB11" s="26">
        <f>Z11+AA11</f>
        <v>2.0600000000000023</v>
      </c>
      <c r="AD11" s="18" t="s">
        <v>133</v>
      </c>
      <c r="AE11" s="22"/>
      <c r="AF11" s="20"/>
    </row>
    <row r="12" spans="1:33">
      <c r="A12" s="284">
        <v>46056</v>
      </c>
      <c r="B12" s="289" t="s">
        <v>160</v>
      </c>
      <c r="C12" s="299" t="s">
        <v>21</v>
      </c>
      <c r="D12" s="377"/>
      <c r="E12" s="379"/>
      <c r="F12" s="378">
        <v>-50</v>
      </c>
      <c r="G12" s="379"/>
      <c r="H12" s="377"/>
      <c r="I12" s="377"/>
      <c r="J12" s="377"/>
      <c r="K12" s="377"/>
      <c r="L12" s="377"/>
      <c r="M12" s="377"/>
      <c r="N12" s="377"/>
      <c r="O12" s="379"/>
      <c r="P12" s="378"/>
      <c r="Q12" s="377"/>
      <c r="R12" s="377"/>
      <c r="S12" s="377"/>
      <c r="T12" s="377"/>
      <c r="U12" s="377"/>
      <c r="V12" s="379"/>
      <c r="W12" s="399"/>
      <c r="Y12" s="18" t="s">
        <v>16</v>
      </c>
      <c r="Z12" s="23">
        <f>Summary!N29</f>
        <v>200</v>
      </c>
      <c r="AA12" s="23">
        <f>SUMIF($C$2:$C$51,Y12,$F$2:$F$51)+SUMIF($C$2:$C$51,Y12,$G$2:$G$51)</f>
        <v>-423</v>
      </c>
      <c r="AB12" s="26">
        <f>Z12+AA12</f>
        <v>-223</v>
      </c>
      <c r="AD12" s="21" t="s">
        <v>29</v>
      </c>
      <c r="AE12" s="637">
        <f>SUM(AE6:AE11)</f>
        <v>300</v>
      </c>
      <c r="AF12" s="20"/>
    </row>
    <row r="13" spans="1:33">
      <c r="A13" s="284">
        <v>46056</v>
      </c>
      <c r="B13" s="289" t="s">
        <v>15</v>
      </c>
      <c r="C13" s="299" t="s">
        <v>15</v>
      </c>
      <c r="D13" s="377"/>
      <c r="E13" s="379"/>
      <c r="F13" s="378">
        <v>-47.94</v>
      </c>
      <c r="G13" s="379"/>
      <c r="H13" s="377"/>
      <c r="I13" s="377"/>
      <c r="J13" s="377"/>
      <c r="K13" s="377"/>
      <c r="L13" s="377"/>
      <c r="M13" s="377"/>
      <c r="N13" s="377"/>
      <c r="O13" s="379"/>
      <c r="P13" s="378"/>
      <c r="Q13" s="377"/>
      <c r="R13" s="377"/>
      <c r="S13" s="377"/>
      <c r="T13" s="377"/>
      <c r="U13" s="377"/>
      <c r="V13" s="379"/>
      <c r="W13" s="399"/>
      <c r="Y13" s="18" t="s">
        <v>17</v>
      </c>
      <c r="Z13" s="23">
        <f>Summary!N30</f>
        <v>1000</v>
      </c>
      <c r="AA13" s="23">
        <f>SUMIF($C$2:$C$51,Y13,$F$2:$F$51)+SUMIF($C$2:$C$51,Y13,$G$2:$G$51)</f>
        <v>-777</v>
      </c>
      <c r="AB13" s="26">
        <f t="shared" si="0"/>
        <v>223</v>
      </c>
      <c r="AD13" s="18"/>
      <c r="AE13" s="24"/>
      <c r="AF13" s="20"/>
    </row>
    <row r="14" spans="1:33">
      <c r="A14" s="284">
        <v>46059</v>
      </c>
      <c r="B14" s="289" t="s">
        <v>201</v>
      </c>
      <c r="C14" s="299" t="s">
        <v>13</v>
      </c>
      <c r="D14" s="377"/>
      <c r="E14" s="379"/>
      <c r="F14" s="378">
        <f>-65-150-100</f>
        <v>-315</v>
      </c>
      <c r="G14" s="379">
        <f>-150-55-62-83-42-42</f>
        <v>-434</v>
      </c>
      <c r="H14" s="377"/>
      <c r="I14" s="377"/>
      <c r="J14" s="377"/>
      <c r="K14" s="377"/>
      <c r="L14" s="377"/>
      <c r="M14" s="377"/>
      <c r="N14" s="377"/>
      <c r="O14" s="379"/>
      <c r="P14" s="378"/>
      <c r="Q14" s="377"/>
      <c r="R14" s="377"/>
      <c r="S14" s="377"/>
      <c r="T14" s="377"/>
      <c r="U14" s="377"/>
      <c r="V14" s="379"/>
      <c r="W14" s="399"/>
      <c r="Y14" s="18" t="s">
        <v>18</v>
      </c>
      <c r="Z14" s="23">
        <f>Summary!N31</f>
        <v>100</v>
      </c>
      <c r="AA14" s="23">
        <f>SUMIF($C$2:$C$51,Y14,$F$2:$F$51)+SUMIF($C$2:$C$51,Y14,$G$2:$G$51)</f>
        <v>0</v>
      </c>
      <c r="AB14" s="26">
        <f t="shared" si="0"/>
        <v>100</v>
      </c>
      <c r="AD14" s="21" t="s">
        <v>132</v>
      </c>
      <c r="AE14" s="19"/>
      <c r="AF14" s="20"/>
    </row>
    <row r="15" spans="1:33">
      <c r="A15" s="284">
        <v>46059</v>
      </c>
      <c r="B15" s="289" t="s">
        <v>202</v>
      </c>
      <c r="C15" s="299" t="s">
        <v>14</v>
      </c>
      <c r="D15" s="377"/>
      <c r="E15" s="379"/>
      <c r="F15" s="378">
        <f>-20-20-20-20</f>
        <v>-80</v>
      </c>
      <c r="G15" s="379"/>
      <c r="H15" s="377"/>
      <c r="I15" s="377"/>
      <c r="J15" s="377"/>
      <c r="K15" s="377"/>
      <c r="L15" s="377"/>
      <c r="M15" s="377"/>
      <c r="N15" s="377"/>
      <c r="O15" s="379"/>
      <c r="P15" s="378"/>
      <c r="Q15" s="377"/>
      <c r="R15" s="377"/>
      <c r="S15" s="377"/>
      <c r="T15" s="377"/>
      <c r="U15" s="377"/>
      <c r="V15" s="379"/>
      <c r="W15" s="399"/>
      <c r="Y15" s="18" t="s">
        <v>19</v>
      </c>
      <c r="Z15" s="23">
        <f>Summary!N32</f>
        <v>0</v>
      </c>
      <c r="AA15" s="23">
        <f>SUMIF($C$2:$C$51,Y15,$F$2:$F$51)+SUMIF($C$2:$C$51,Y15,$G$2:$G$51)</f>
        <v>0</v>
      </c>
      <c r="AB15" s="26">
        <f t="shared" si="0"/>
        <v>0</v>
      </c>
      <c r="AD15" s="18" t="s">
        <v>49</v>
      </c>
      <c r="AE15" s="23">
        <f>P52</f>
        <v>3136</v>
      </c>
      <c r="AF15" s="20"/>
    </row>
    <row r="16" spans="1:33">
      <c r="A16" s="284">
        <v>46059</v>
      </c>
      <c r="B16" s="289" t="s">
        <v>203</v>
      </c>
      <c r="C16" s="299" t="s">
        <v>17</v>
      </c>
      <c r="D16" s="377"/>
      <c r="E16" s="379"/>
      <c r="F16" s="378">
        <f>-30-40-80</f>
        <v>-150</v>
      </c>
      <c r="G16" s="379"/>
      <c r="H16" s="377"/>
      <c r="I16" s="377"/>
      <c r="J16" s="377"/>
      <c r="K16" s="377"/>
      <c r="L16" s="377"/>
      <c r="M16" s="377"/>
      <c r="N16" s="377"/>
      <c r="O16" s="379"/>
      <c r="P16" s="378"/>
      <c r="Q16" s="377"/>
      <c r="R16" s="377"/>
      <c r="S16" s="377"/>
      <c r="T16" s="377"/>
      <c r="U16" s="377"/>
      <c r="V16" s="379"/>
      <c r="W16" s="399"/>
      <c r="Y16" s="18" t="s">
        <v>20</v>
      </c>
      <c r="Z16" s="23">
        <f>Summary!N33</f>
        <v>500</v>
      </c>
      <c r="AA16" s="23">
        <f>SUMIF($C$2:$C$51,Y16,$F$2:$F$51)+SUMIF($C$2:$C$51,Y16,$G$2:$G$51)+E37</f>
        <v>-300</v>
      </c>
      <c r="AB16" s="26">
        <f t="shared" si="0"/>
        <v>200</v>
      </c>
      <c r="AD16" s="18" t="s">
        <v>50</v>
      </c>
      <c r="AE16" s="23">
        <v>0</v>
      </c>
      <c r="AF16" s="20"/>
    </row>
    <row r="17" spans="1:32">
      <c r="A17" s="284">
        <v>46063</v>
      </c>
      <c r="B17" s="289" t="s">
        <v>11</v>
      </c>
      <c r="C17" s="299" t="s">
        <v>11</v>
      </c>
      <c r="D17" s="377"/>
      <c r="E17" s="379"/>
      <c r="F17" s="378"/>
      <c r="G17" s="379">
        <v>-150</v>
      </c>
      <c r="H17" s="377"/>
      <c r="I17" s="377"/>
      <c r="J17" s="377"/>
      <c r="K17" s="377"/>
      <c r="L17" s="377"/>
      <c r="M17" s="377"/>
      <c r="N17" s="377"/>
      <c r="O17" s="379"/>
      <c r="P17" s="378"/>
      <c r="Q17" s="377"/>
      <c r="R17" s="377"/>
      <c r="S17" s="377"/>
      <c r="T17" s="377"/>
      <c r="U17" s="377"/>
      <c r="V17" s="379"/>
      <c r="W17" s="399"/>
      <c r="Y17" s="18" t="s">
        <v>21</v>
      </c>
      <c r="Z17" s="23">
        <f>Summary!N34</f>
        <v>800</v>
      </c>
      <c r="AA17" s="23">
        <f>SUMIF($C$2:$C$51,Y17,$F$2:$F$51)+SUMIF($C$2:$C$51,Y17,$G$2:$G$51)</f>
        <v>-499</v>
      </c>
      <c r="AB17" s="26">
        <f t="shared" si="0"/>
        <v>301</v>
      </c>
      <c r="AD17" s="18" t="s">
        <v>131</v>
      </c>
      <c r="AE17" s="23">
        <f>Q52</f>
        <v>0</v>
      </c>
      <c r="AF17" s="20"/>
    </row>
    <row r="18" spans="1:32">
      <c r="A18" s="284">
        <v>46063</v>
      </c>
      <c r="B18" s="288" t="s">
        <v>165</v>
      </c>
      <c r="C18" s="299" t="s">
        <v>21</v>
      </c>
      <c r="D18" s="377"/>
      <c r="E18" s="379"/>
      <c r="F18" s="378">
        <v>-50</v>
      </c>
      <c r="G18" s="379"/>
      <c r="H18" s="377"/>
      <c r="I18" s="377"/>
      <c r="J18" s="377"/>
      <c r="K18" s="377"/>
      <c r="L18" s="377"/>
      <c r="M18" s="377"/>
      <c r="N18" s="377"/>
      <c r="O18" s="379"/>
      <c r="P18" s="378"/>
      <c r="Q18" s="377"/>
      <c r="R18" s="377"/>
      <c r="S18" s="377"/>
      <c r="T18" s="377"/>
      <c r="U18" s="377"/>
      <c r="V18" s="379"/>
      <c r="W18" s="399"/>
      <c r="Y18" s="18" t="s">
        <v>22</v>
      </c>
      <c r="Z18" s="23">
        <f>Summary!N35</f>
        <v>4100</v>
      </c>
      <c r="AA18" s="23">
        <f>SUMIF($C$2:$C$51,Y18,$F$2:$F$51)+SUMIF($C$2:$C$51,Y18,$G$2:$G$51)+E4+E8+E7</f>
        <v>-4138</v>
      </c>
      <c r="AB18" s="26">
        <f t="shared" si="0"/>
        <v>-38</v>
      </c>
      <c r="AD18" s="18" t="s">
        <v>53</v>
      </c>
      <c r="AE18" s="23">
        <f>Q52</f>
        <v>0</v>
      </c>
      <c r="AF18" s="20"/>
    </row>
    <row r="19" spans="1:32">
      <c r="A19" s="284">
        <v>46063</v>
      </c>
      <c r="B19" s="288" t="s">
        <v>164</v>
      </c>
      <c r="C19" s="299" t="s">
        <v>21</v>
      </c>
      <c r="D19" s="377"/>
      <c r="E19" s="379"/>
      <c r="F19" s="378">
        <v>-93</v>
      </c>
      <c r="G19" s="379"/>
      <c r="H19" s="377"/>
      <c r="I19" s="377"/>
      <c r="J19" s="377"/>
      <c r="K19" s="377"/>
      <c r="L19" s="377"/>
      <c r="M19" s="377"/>
      <c r="N19" s="377"/>
      <c r="O19" s="379"/>
      <c r="P19" s="378"/>
      <c r="Q19" s="377"/>
      <c r="R19" s="377"/>
      <c r="S19" s="377"/>
      <c r="T19" s="377"/>
      <c r="U19" s="377"/>
      <c r="V19" s="379"/>
      <c r="W19" s="399"/>
      <c r="Y19" s="18" t="s">
        <v>23</v>
      </c>
      <c r="Z19" s="23">
        <f>Summary!N36</f>
        <v>0</v>
      </c>
      <c r="AA19" s="23">
        <f>SUMIF($C$2:$C$51,Y19,$F$2:$F$51)+SUMIF($C$2:$C$51,Y19,$G$2:$G$51)</f>
        <v>-1318</v>
      </c>
      <c r="AB19" s="26">
        <f t="shared" si="0"/>
        <v>-1318</v>
      </c>
      <c r="AD19" s="18" t="s">
        <v>124</v>
      </c>
      <c r="AE19" s="23">
        <f>V52</f>
        <v>2606</v>
      </c>
      <c r="AF19" s="20"/>
    </row>
    <row r="20" spans="1:32">
      <c r="A20" s="284">
        <v>46065</v>
      </c>
      <c r="B20" s="289" t="s">
        <v>194</v>
      </c>
      <c r="C20" s="299" t="s">
        <v>8</v>
      </c>
      <c r="D20" s="377"/>
      <c r="E20" s="379"/>
      <c r="F20" s="378">
        <v>-13</v>
      </c>
      <c r="G20" s="379"/>
      <c r="H20" s="377"/>
      <c r="I20" s="377"/>
      <c r="J20" s="377"/>
      <c r="K20" s="377"/>
      <c r="L20" s="377"/>
      <c r="M20" s="377"/>
      <c r="N20" s="377"/>
      <c r="O20" s="379"/>
      <c r="P20" s="378"/>
      <c r="Q20" s="377"/>
      <c r="R20" s="377"/>
      <c r="S20" s="377"/>
      <c r="T20" s="377"/>
      <c r="U20" s="377"/>
      <c r="V20" s="379"/>
      <c r="W20" s="399"/>
      <c r="Y20" s="18" t="s">
        <v>24</v>
      </c>
      <c r="Z20" s="23">
        <f>Summary!N37</f>
        <v>500</v>
      </c>
      <c r="AA20" s="23">
        <f>SUMIF($C$2:$C$51,Y20,$F$2:$F$51)+SUMIF($C$2:$C$51,Y20,$G$2:$G$51)+E6</f>
        <v>-500</v>
      </c>
      <c r="AB20" s="26">
        <f t="shared" si="0"/>
        <v>0</v>
      </c>
      <c r="AD20" s="18" t="s">
        <v>133</v>
      </c>
      <c r="AE20" s="23">
        <f>+W52</f>
        <v>119.96000000000001</v>
      </c>
      <c r="AF20" s="20"/>
    </row>
    <row r="21" spans="1:32">
      <c r="A21" s="284">
        <v>46065</v>
      </c>
      <c r="B21" s="289" t="s">
        <v>27</v>
      </c>
      <c r="C21" s="299" t="s">
        <v>27</v>
      </c>
      <c r="D21" s="377"/>
      <c r="E21" s="379"/>
      <c r="F21" s="378">
        <v>-260</v>
      </c>
      <c r="G21" s="379"/>
      <c r="H21" s="377"/>
      <c r="I21" s="377"/>
      <c r="J21" s="377"/>
      <c r="K21" s="377"/>
      <c r="L21" s="377"/>
      <c r="M21" s="377"/>
      <c r="N21" s="377"/>
      <c r="O21" s="379"/>
      <c r="P21" s="378"/>
      <c r="Q21" s="377"/>
      <c r="R21" s="377"/>
      <c r="S21" s="377"/>
      <c r="T21" s="377"/>
      <c r="U21" s="377"/>
      <c r="V21" s="379"/>
      <c r="W21" s="399"/>
      <c r="Y21" s="18" t="s">
        <v>25</v>
      </c>
      <c r="Z21" s="23">
        <f>Summary!N38</f>
        <v>200</v>
      </c>
      <c r="AA21" s="23">
        <f>SUMIF($C$2:$C$51,Y21,$F$2:$F$51)+SUMIF($C$2:$C$51,Y21,$G$2:$G$51)</f>
        <v>0</v>
      </c>
      <c r="AB21" s="26">
        <f t="shared" si="0"/>
        <v>200</v>
      </c>
      <c r="AD21" s="21" t="s">
        <v>29</v>
      </c>
      <c r="AE21" s="637">
        <f>SUM(AE15:AE20)</f>
        <v>5861.96</v>
      </c>
      <c r="AF21" s="20"/>
    </row>
    <row r="22" spans="1:32">
      <c r="A22" s="284">
        <v>46066</v>
      </c>
      <c r="B22" s="289" t="s">
        <v>196</v>
      </c>
      <c r="C22" s="299" t="s">
        <v>20</v>
      </c>
      <c r="D22" s="377"/>
      <c r="E22" s="379"/>
      <c r="F22" s="378">
        <v>-50</v>
      </c>
      <c r="G22" s="379"/>
      <c r="H22" s="377"/>
      <c r="I22" s="377"/>
      <c r="J22" s="377"/>
      <c r="K22" s="377"/>
      <c r="L22" s="377"/>
      <c r="M22" s="377"/>
      <c r="N22" s="377"/>
      <c r="O22" s="379"/>
      <c r="P22" s="378"/>
      <c r="Q22" s="377"/>
      <c r="R22" s="377"/>
      <c r="S22" s="377"/>
      <c r="T22" s="377"/>
      <c r="U22" s="377"/>
      <c r="V22" s="379"/>
      <c r="W22" s="399"/>
      <c r="Y22" s="18" t="s">
        <v>26</v>
      </c>
      <c r="Z22" s="23">
        <f>Summary!N39</f>
        <v>200</v>
      </c>
      <c r="AA22" s="23">
        <f>SUMIF($C$2:$C$51,Y22,$F$2:$F$51)+SUMIF($C$2:$C$51,Y22,$G$2:$G$51)</f>
        <v>-157</v>
      </c>
      <c r="AB22" s="26">
        <f>Z22+AA22</f>
        <v>43</v>
      </c>
      <c r="AD22" s="124"/>
      <c r="AE22"/>
      <c r="AF22" s="125"/>
    </row>
    <row r="23" spans="1:32" s="342" customFormat="1">
      <c r="A23" s="340">
        <v>46069</v>
      </c>
      <c r="B23" s="341" t="s">
        <v>170</v>
      </c>
      <c r="C23" s="299" t="s">
        <v>170</v>
      </c>
      <c r="D23" s="377"/>
      <c r="E23" s="379">
        <f>5000+5178</f>
        <v>10178</v>
      </c>
      <c r="F23" s="378"/>
      <c r="G23" s="379"/>
      <c r="H23" s="377"/>
      <c r="I23" s="377"/>
      <c r="J23" s="377"/>
      <c r="K23" s="377"/>
      <c r="L23" s="377"/>
      <c r="M23" s="377"/>
      <c r="N23" s="377"/>
      <c r="O23" s="379"/>
      <c r="P23" s="378"/>
      <c r="Q23" s="377"/>
      <c r="R23" s="377"/>
      <c r="S23" s="377"/>
      <c r="T23" s="377"/>
      <c r="U23" s="377"/>
      <c r="V23" s="377"/>
      <c r="W23" s="400"/>
      <c r="Y23" s="343" t="s">
        <v>27</v>
      </c>
      <c r="Z23" s="23">
        <f>Summary!N40</f>
        <v>0</v>
      </c>
      <c r="AA23" s="23">
        <f>SUMIF($C$2:$C$51,Y23,$F$2:$F$51)+SUMIF($C$2:$C$51,Y23,$G$2:$G$51)</f>
        <v>-260</v>
      </c>
      <c r="AB23" s="26">
        <f>Z23+AA23</f>
        <v>-260</v>
      </c>
      <c r="AD23" s="370"/>
      <c r="AE23" s="371"/>
      <c r="AF23" s="372"/>
    </row>
    <row r="24" spans="1:32" s="342" customFormat="1">
      <c r="A24" s="340">
        <v>46069</v>
      </c>
      <c r="B24" s="341" t="s">
        <v>204</v>
      </c>
      <c r="C24" s="299" t="s">
        <v>14</v>
      </c>
      <c r="D24" s="377"/>
      <c r="E24" s="379">
        <v>-355</v>
      </c>
      <c r="F24" s="378"/>
      <c r="G24" s="379"/>
      <c r="H24" s="377"/>
      <c r="I24" s="377"/>
      <c r="J24" s="377"/>
      <c r="K24" s="377"/>
      <c r="L24" s="377"/>
      <c r="M24" s="377"/>
      <c r="N24" s="377"/>
      <c r="O24" s="379"/>
      <c r="P24" s="378"/>
      <c r="Q24" s="377"/>
      <c r="R24" s="377"/>
      <c r="S24" s="377"/>
      <c r="T24" s="377"/>
      <c r="U24" s="377"/>
      <c r="V24" s="377"/>
      <c r="W24" s="400"/>
      <c r="Y24" s="343" t="s">
        <v>28</v>
      </c>
      <c r="Z24" s="23">
        <f>Summary!N41</f>
        <v>900</v>
      </c>
      <c r="AA24" s="23">
        <f>SUMIF($C$2:$C$51,Y24,$F$2:$F$51)+SUMIF($C$2:$C$51,Y24,$G$2:$G$51)+E10</f>
        <v>-880</v>
      </c>
      <c r="AB24" s="26">
        <f>Z24+AA24</f>
        <v>20</v>
      </c>
      <c r="AD24" s="370"/>
      <c r="AE24" s="371"/>
      <c r="AF24" s="372"/>
    </row>
    <row r="25" spans="1:32" s="342" customFormat="1">
      <c r="A25" s="340">
        <v>46069</v>
      </c>
      <c r="B25" s="341" t="s">
        <v>13</v>
      </c>
      <c r="C25" s="299" t="s">
        <v>13</v>
      </c>
      <c r="D25" s="377"/>
      <c r="E25" s="379"/>
      <c r="F25" s="378">
        <f>-100-40-30</f>
        <v>-170</v>
      </c>
      <c r="G25" s="379">
        <f>-120-136</f>
        <v>-256</v>
      </c>
      <c r="H25" s="377"/>
      <c r="I25" s="377"/>
      <c r="J25" s="377"/>
      <c r="K25" s="377"/>
      <c r="L25" s="377"/>
      <c r="M25" s="377"/>
      <c r="N25" s="377"/>
      <c r="O25" s="379"/>
      <c r="P25" s="378"/>
      <c r="Q25" s="377"/>
      <c r="R25" s="377"/>
      <c r="S25" s="377"/>
      <c r="T25" s="377"/>
      <c r="U25" s="377"/>
      <c r="V25" s="377"/>
      <c r="W25" s="400"/>
      <c r="Y25" s="343"/>
      <c r="Z25" s="23"/>
      <c r="AA25" s="23"/>
      <c r="AB25" s="26"/>
      <c r="AD25" s="370"/>
      <c r="AE25" s="371"/>
      <c r="AF25" s="372"/>
    </row>
    <row r="26" spans="1:32" s="342" customFormat="1">
      <c r="A26" s="340">
        <v>46069</v>
      </c>
      <c r="B26" s="341" t="s">
        <v>17</v>
      </c>
      <c r="C26" s="299" t="s">
        <v>17</v>
      </c>
      <c r="D26" s="377"/>
      <c r="E26" s="379"/>
      <c r="F26" s="378"/>
      <c r="G26" s="379">
        <f>-60-33</f>
        <v>-93</v>
      </c>
      <c r="H26" s="377"/>
      <c r="I26" s="377"/>
      <c r="J26" s="377"/>
      <c r="K26" s="377"/>
      <c r="L26" s="377"/>
      <c r="M26" s="377"/>
      <c r="N26" s="377"/>
      <c r="O26" s="379"/>
      <c r="P26" s="378"/>
      <c r="Q26" s="377"/>
      <c r="R26" s="377"/>
      <c r="S26" s="377"/>
      <c r="T26" s="377"/>
      <c r="U26" s="377"/>
      <c r="V26" s="377"/>
      <c r="W26" s="400"/>
      <c r="Y26" s="343"/>
      <c r="Z26" s="23"/>
      <c r="AA26" s="23"/>
      <c r="AB26" s="26"/>
      <c r="AD26" s="370"/>
      <c r="AE26" s="371"/>
      <c r="AF26" s="372"/>
    </row>
    <row r="27" spans="1:32" s="342" customFormat="1">
      <c r="A27" s="340">
        <v>46069</v>
      </c>
      <c r="B27" s="341" t="s">
        <v>158</v>
      </c>
      <c r="C27" s="299" t="s">
        <v>21</v>
      </c>
      <c r="D27" s="377"/>
      <c r="E27" s="379"/>
      <c r="F27" s="378">
        <v>-306</v>
      </c>
      <c r="G27" s="379"/>
      <c r="H27" s="377"/>
      <c r="I27" s="377"/>
      <c r="J27" s="377"/>
      <c r="K27" s="377"/>
      <c r="L27" s="377"/>
      <c r="M27" s="377"/>
      <c r="N27" s="377"/>
      <c r="O27" s="379"/>
      <c r="P27" s="378"/>
      <c r="Q27" s="377"/>
      <c r="R27" s="377"/>
      <c r="S27" s="377"/>
      <c r="T27" s="377"/>
      <c r="U27" s="377"/>
      <c r="V27" s="377"/>
      <c r="W27" s="400"/>
      <c r="Y27" s="343"/>
      <c r="Z27" s="23"/>
      <c r="AA27" s="23"/>
      <c r="AB27" s="26"/>
      <c r="AD27" s="370"/>
      <c r="AE27" s="371"/>
      <c r="AF27" s="372"/>
    </row>
    <row r="28" spans="1:32" s="342" customFormat="1">
      <c r="A28" s="340">
        <v>46069</v>
      </c>
      <c r="B28" s="341" t="s">
        <v>9</v>
      </c>
      <c r="C28" s="299" t="s">
        <v>9</v>
      </c>
      <c r="D28" s="377"/>
      <c r="E28" s="379"/>
      <c r="F28" s="378">
        <v>-342</v>
      </c>
      <c r="G28" s="379"/>
      <c r="H28" s="377"/>
      <c r="I28" s="377"/>
      <c r="J28" s="377"/>
      <c r="K28" s="377"/>
      <c r="L28" s="377"/>
      <c r="M28" s="377"/>
      <c r="N28" s="377"/>
      <c r="O28" s="379"/>
      <c r="P28" s="378"/>
      <c r="Q28" s="377"/>
      <c r="R28" s="377"/>
      <c r="S28" s="377"/>
      <c r="T28" s="377"/>
      <c r="U28" s="377"/>
      <c r="V28" s="377"/>
      <c r="W28" s="400"/>
      <c r="Y28" s="343"/>
      <c r="Z28" s="23"/>
      <c r="AA28" s="23"/>
      <c r="AB28" s="26"/>
      <c r="AD28" s="370"/>
      <c r="AE28" s="371"/>
      <c r="AF28" s="372"/>
    </row>
    <row r="29" spans="1:32" s="342" customFormat="1">
      <c r="A29" s="340">
        <v>46069</v>
      </c>
      <c r="B29" s="341" t="s">
        <v>205</v>
      </c>
      <c r="C29" s="299" t="s">
        <v>12</v>
      </c>
      <c r="D29" s="377"/>
      <c r="E29" s="379"/>
      <c r="F29" s="378">
        <v>-65</v>
      </c>
      <c r="G29" s="379"/>
      <c r="H29" s="377"/>
      <c r="I29" s="377"/>
      <c r="J29" s="377"/>
      <c r="K29" s="377"/>
      <c r="L29" s="377"/>
      <c r="M29" s="377"/>
      <c r="N29" s="377"/>
      <c r="O29" s="379"/>
      <c r="P29" s="378"/>
      <c r="Q29" s="377"/>
      <c r="R29" s="377"/>
      <c r="S29" s="377"/>
      <c r="T29" s="377"/>
      <c r="U29" s="377"/>
      <c r="V29" s="377"/>
      <c r="W29" s="400"/>
      <c r="Y29" s="343"/>
      <c r="Z29" s="23"/>
      <c r="AA29" s="23"/>
      <c r="AB29" s="26"/>
      <c r="AD29" s="370"/>
      <c r="AE29" s="371"/>
      <c r="AF29" s="372"/>
    </row>
    <row r="30" spans="1:32" s="342" customFormat="1">
      <c r="A30" s="340">
        <v>46069</v>
      </c>
      <c r="B30" s="341" t="s">
        <v>203</v>
      </c>
      <c r="C30" s="299" t="s">
        <v>26</v>
      </c>
      <c r="D30" s="377"/>
      <c r="E30" s="379"/>
      <c r="F30" s="378">
        <f>-79-78</f>
        <v>-157</v>
      </c>
      <c r="G30" s="379"/>
      <c r="H30" s="377"/>
      <c r="I30" s="377"/>
      <c r="J30" s="377"/>
      <c r="K30" s="377"/>
      <c r="L30" s="377"/>
      <c r="M30" s="377"/>
      <c r="N30" s="377"/>
      <c r="O30" s="379"/>
      <c r="P30" s="378"/>
      <c r="Q30" s="377"/>
      <c r="R30" s="377"/>
      <c r="S30" s="377"/>
      <c r="T30" s="377"/>
      <c r="U30" s="377"/>
      <c r="V30" s="377"/>
      <c r="W30" s="400"/>
      <c r="Y30" s="343"/>
      <c r="Z30" s="23"/>
      <c r="AA30" s="23"/>
      <c r="AB30" s="26"/>
      <c r="AD30" s="370"/>
      <c r="AE30" s="371"/>
      <c r="AF30" s="372"/>
    </row>
    <row r="31" spans="1:32" s="342" customFormat="1">
      <c r="A31" s="340">
        <v>46069</v>
      </c>
      <c r="B31" s="341" t="s">
        <v>23</v>
      </c>
      <c r="C31" s="299" t="s">
        <v>23</v>
      </c>
      <c r="D31" s="377"/>
      <c r="E31" s="379"/>
      <c r="F31" s="378">
        <v>-320</v>
      </c>
      <c r="G31" s="379"/>
      <c r="H31" s="377"/>
      <c r="I31" s="377"/>
      <c r="J31" s="377"/>
      <c r="K31" s="377"/>
      <c r="L31" s="377"/>
      <c r="M31" s="377"/>
      <c r="N31" s="377"/>
      <c r="O31" s="379"/>
      <c r="P31" s="378"/>
      <c r="Q31" s="377"/>
      <c r="R31" s="377"/>
      <c r="S31" s="377"/>
      <c r="T31" s="377"/>
      <c r="U31" s="377"/>
      <c r="V31" s="377"/>
      <c r="W31" s="400"/>
      <c r="Y31" s="343"/>
      <c r="Z31" s="23"/>
      <c r="AA31" s="23"/>
      <c r="AB31" s="26"/>
      <c r="AD31" s="370"/>
      <c r="AE31" s="371"/>
      <c r="AF31" s="372"/>
    </row>
    <row r="32" spans="1:32" s="342" customFormat="1">
      <c r="A32" s="340">
        <v>46071</v>
      </c>
      <c r="B32" s="341" t="s">
        <v>206</v>
      </c>
      <c r="C32" s="299" t="s">
        <v>4</v>
      </c>
      <c r="D32" s="377"/>
      <c r="E32" s="379">
        <v>-300</v>
      </c>
      <c r="F32" s="378"/>
      <c r="G32" s="379"/>
      <c r="H32" s="377"/>
      <c r="I32" s="377"/>
      <c r="J32" s="377"/>
      <c r="K32" s="377"/>
      <c r="L32" s="377"/>
      <c r="M32" s="377"/>
      <c r="N32" s="377"/>
      <c r="O32" s="379"/>
      <c r="P32" s="378"/>
      <c r="Q32" s="377"/>
      <c r="R32" s="377">
        <v>300</v>
      </c>
      <c r="S32" s="377"/>
      <c r="T32" s="377"/>
      <c r="U32" s="377"/>
      <c r="V32" s="377"/>
      <c r="W32" s="400"/>
      <c r="Y32" s="343"/>
      <c r="Z32" s="23"/>
      <c r="AA32" s="23"/>
      <c r="AB32" s="26"/>
      <c r="AD32" s="370"/>
      <c r="AE32" s="371"/>
      <c r="AF32" s="372"/>
    </row>
    <row r="33" spans="1:32" s="342" customFormat="1">
      <c r="A33" s="340">
        <v>46071</v>
      </c>
      <c r="B33" s="341" t="s">
        <v>175</v>
      </c>
      <c r="C33" s="299" t="s">
        <v>12</v>
      </c>
      <c r="D33" s="377"/>
      <c r="E33" s="379">
        <v>-79</v>
      </c>
      <c r="F33" s="378"/>
      <c r="G33" s="379"/>
      <c r="H33" s="377"/>
      <c r="I33" s="377"/>
      <c r="J33" s="377"/>
      <c r="K33" s="377"/>
      <c r="L33" s="377"/>
      <c r="M33" s="377"/>
      <c r="N33" s="377"/>
      <c r="O33" s="379"/>
      <c r="P33" s="378"/>
      <c r="Q33" s="377"/>
      <c r="R33" s="377"/>
      <c r="S33" s="377"/>
      <c r="T33" s="377"/>
      <c r="U33" s="377"/>
      <c r="V33" s="377"/>
      <c r="W33" s="400"/>
      <c r="Y33" s="343"/>
      <c r="Z33" s="23"/>
      <c r="AA33" s="23"/>
      <c r="AB33" s="26"/>
      <c r="AD33" s="370"/>
      <c r="AE33" s="371"/>
      <c r="AF33" s="372"/>
    </row>
    <row r="34" spans="1:32" s="342" customFormat="1">
      <c r="A34" s="340">
        <v>46072</v>
      </c>
      <c r="B34" s="341" t="s">
        <v>16</v>
      </c>
      <c r="C34" s="299" t="s">
        <v>16</v>
      </c>
      <c r="D34" s="377"/>
      <c r="E34" s="379"/>
      <c r="F34" s="378">
        <v>-6</v>
      </c>
      <c r="G34" s="379">
        <v>-317</v>
      </c>
      <c r="H34" s="377"/>
      <c r="I34" s="377"/>
      <c r="J34" s="377"/>
      <c r="K34" s="377"/>
      <c r="L34" s="377"/>
      <c r="M34" s="377"/>
      <c r="N34" s="377"/>
      <c r="O34" s="379"/>
      <c r="P34" s="378"/>
      <c r="Q34" s="377"/>
      <c r="R34" s="377"/>
      <c r="S34" s="377"/>
      <c r="T34" s="377"/>
      <c r="U34" s="377"/>
      <c r="V34" s="377"/>
      <c r="W34" s="400"/>
      <c r="Y34" s="343"/>
      <c r="Z34" s="23"/>
      <c r="AA34" s="23"/>
      <c r="AB34" s="26"/>
      <c r="AD34" s="370"/>
      <c r="AE34" s="371"/>
      <c r="AF34" s="372"/>
    </row>
    <row r="35" spans="1:32" s="342" customFormat="1">
      <c r="A35" s="340">
        <v>46073</v>
      </c>
      <c r="B35" s="341" t="s">
        <v>188</v>
      </c>
      <c r="C35" s="299" t="s">
        <v>8</v>
      </c>
      <c r="D35" s="377"/>
      <c r="E35" s="379"/>
      <c r="F35" s="378">
        <v>-30</v>
      </c>
      <c r="G35" s="379"/>
      <c r="H35" s="377"/>
      <c r="I35" s="377"/>
      <c r="J35" s="377"/>
      <c r="K35" s="377"/>
      <c r="L35" s="377"/>
      <c r="M35" s="377"/>
      <c r="N35" s="377"/>
      <c r="O35" s="379"/>
      <c r="P35" s="378"/>
      <c r="Q35" s="377"/>
      <c r="R35" s="377"/>
      <c r="S35" s="377"/>
      <c r="T35" s="377"/>
      <c r="U35" s="377"/>
      <c r="V35" s="377"/>
      <c r="W35" s="400"/>
      <c r="Y35" s="343"/>
      <c r="Z35" s="23"/>
      <c r="AA35" s="23"/>
      <c r="AB35" s="26"/>
      <c r="AD35" s="370"/>
      <c r="AE35" s="371"/>
      <c r="AF35" s="372"/>
    </row>
    <row r="36" spans="1:32" s="342" customFormat="1">
      <c r="A36" s="340">
        <v>46073</v>
      </c>
      <c r="B36" s="341" t="s">
        <v>147</v>
      </c>
      <c r="C36" s="299" t="s">
        <v>8</v>
      </c>
      <c r="D36" s="377"/>
      <c r="E36" s="379"/>
      <c r="F36" s="378">
        <v>-28</v>
      </c>
      <c r="G36" s="379"/>
      <c r="H36" s="377"/>
      <c r="I36" s="377"/>
      <c r="J36" s="377"/>
      <c r="K36" s="377"/>
      <c r="L36" s="377"/>
      <c r="M36" s="377"/>
      <c r="N36" s="377"/>
      <c r="O36" s="379"/>
      <c r="P36" s="378"/>
      <c r="Q36" s="377"/>
      <c r="R36" s="377"/>
      <c r="S36" s="377"/>
      <c r="T36" s="377"/>
      <c r="U36" s="377"/>
      <c r="V36" s="377"/>
      <c r="W36" s="400"/>
      <c r="Y36" s="343"/>
      <c r="Z36" s="23"/>
      <c r="AA36" s="23"/>
      <c r="AB36" s="26"/>
      <c r="AD36" s="370"/>
      <c r="AE36" s="371"/>
      <c r="AF36" s="372"/>
    </row>
    <row r="37" spans="1:32" s="342" customFormat="1">
      <c r="A37" s="340">
        <v>46074</v>
      </c>
      <c r="B37" s="341" t="s">
        <v>207</v>
      </c>
      <c r="C37" s="299" t="s">
        <v>20</v>
      </c>
      <c r="D37" s="377"/>
      <c r="E37" s="379">
        <v>-250</v>
      </c>
      <c r="F37" s="378"/>
      <c r="G37" s="379"/>
      <c r="H37" s="377"/>
      <c r="I37" s="377"/>
      <c r="J37" s="377"/>
      <c r="K37" s="377"/>
      <c r="L37" s="377"/>
      <c r="M37" s="377"/>
      <c r="N37" s="377"/>
      <c r="O37" s="379"/>
      <c r="P37" s="378"/>
      <c r="Q37" s="377"/>
      <c r="R37" s="377"/>
      <c r="S37" s="377"/>
      <c r="T37" s="377"/>
      <c r="U37" s="377"/>
      <c r="V37" s="377"/>
      <c r="W37" s="400"/>
      <c r="Y37" s="343"/>
      <c r="Z37" s="23"/>
      <c r="AA37" s="23"/>
      <c r="AB37" s="26"/>
      <c r="AD37" s="370"/>
      <c r="AE37" s="371"/>
      <c r="AF37" s="372"/>
    </row>
    <row r="38" spans="1:32" s="342" customFormat="1">
      <c r="A38" s="340">
        <v>46076</v>
      </c>
      <c r="B38" s="341" t="s">
        <v>23</v>
      </c>
      <c r="C38" s="299" t="s">
        <v>23</v>
      </c>
      <c r="D38" s="377"/>
      <c r="E38" s="379"/>
      <c r="F38" s="378">
        <v>-800</v>
      </c>
      <c r="G38" s="379">
        <f>-140-45-13</f>
        <v>-198</v>
      </c>
      <c r="H38" s="377"/>
      <c r="I38" s="377"/>
      <c r="J38" s="377"/>
      <c r="K38" s="377"/>
      <c r="L38" s="377"/>
      <c r="M38" s="377"/>
      <c r="N38" s="377"/>
      <c r="O38" s="379"/>
      <c r="P38" s="378"/>
      <c r="Q38" s="377"/>
      <c r="R38" s="377"/>
      <c r="S38" s="377"/>
      <c r="T38" s="377"/>
      <c r="U38" s="377"/>
      <c r="V38" s="377"/>
      <c r="W38" s="400"/>
      <c r="Y38" s="343"/>
      <c r="Z38" s="23"/>
      <c r="AA38" s="23"/>
      <c r="AB38" s="26"/>
      <c r="AD38" s="370"/>
      <c r="AE38" s="371"/>
      <c r="AF38" s="372"/>
    </row>
    <row r="39" spans="1:32" s="342" customFormat="1">
      <c r="A39" s="340">
        <v>46076</v>
      </c>
      <c r="B39" s="341" t="s">
        <v>177</v>
      </c>
      <c r="C39" s="299" t="s">
        <v>12</v>
      </c>
      <c r="D39" s="377"/>
      <c r="E39" s="379">
        <f>-256.52-22.22</f>
        <v>-278.74</v>
      </c>
      <c r="F39" s="378"/>
      <c r="G39" s="379"/>
      <c r="H39" s="377"/>
      <c r="I39" s="377"/>
      <c r="J39" s="377"/>
      <c r="K39" s="377"/>
      <c r="L39" s="377"/>
      <c r="M39" s="377"/>
      <c r="N39" s="377"/>
      <c r="O39" s="379"/>
      <c r="P39" s="378"/>
      <c r="Q39" s="377"/>
      <c r="R39" s="377"/>
      <c r="S39" s="377"/>
      <c r="T39" s="377"/>
      <c r="U39" s="377"/>
      <c r="V39" s="377"/>
      <c r="W39" s="400"/>
      <c r="Y39" s="343"/>
      <c r="Z39" s="23"/>
      <c r="AA39" s="23"/>
      <c r="AB39" s="26"/>
      <c r="AD39" s="370"/>
      <c r="AE39" s="371"/>
      <c r="AF39" s="372"/>
    </row>
    <row r="40" spans="1:32">
      <c r="A40" s="340">
        <v>46076</v>
      </c>
      <c r="B40" s="341" t="s">
        <v>17</v>
      </c>
      <c r="C40" s="299" t="s">
        <v>17</v>
      </c>
      <c r="D40" s="377"/>
      <c r="E40" s="379"/>
      <c r="F40" s="378"/>
      <c r="G40" s="379">
        <f>-52-38</f>
        <v>-90</v>
      </c>
      <c r="H40" s="377"/>
      <c r="I40" s="377"/>
      <c r="J40" s="377"/>
      <c r="K40" s="377"/>
      <c r="L40" s="377"/>
      <c r="M40" s="377"/>
      <c r="N40" s="377"/>
      <c r="O40" s="379"/>
      <c r="P40" s="378"/>
      <c r="Q40" s="377"/>
      <c r="R40" s="377"/>
      <c r="S40" s="377"/>
      <c r="T40" s="377"/>
      <c r="U40" s="377"/>
      <c r="V40" s="377"/>
      <c r="W40" s="400"/>
      <c r="Y40" s="18"/>
      <c r="Z40" s="23"/>
      <c r="AA40" s="23"/>
      <c r="AB40" s="26"/>
      <c r="AD40" s="124"/>
      <c r="AE40"/>
      <c r="AF40" s="125"/>
    </row>
    <row r="41" spans="1:32">
      <c r="A41" s="340">
        <v>46076</v>
      </c>
      <c r="B41" s="341" t="s">
        <v>179</v>
      </c>
      <c r="C41" s="299" t="s">
        <v>8</v>
      </c>
      <c r="D41" s="377"/>
      <c r="E41" s="379"/>
      <c r="F41" s="378">
        <v>-85</v>
      </c>
      <c r="G41" s="379"/>
      <c r="H41" s="377"/>
      <c r="I41" s="377"/>
      <c r="J41" s="377"/>
      <c r="K41" s="377"/>
      <c r="L41" s="377"/>
      <c r="M41" s="377"/>
      <c r="N41" s="377"/>
      <c r="O41" s="379"/>
      <c r="P41" s="378"/>
      <c r="Q41" s="377"/>
      <c r="R41" s="377"/>
      <c r="S41" s="377"/>
      <c r="T41" s="377"/>
      <c r="U41" s="377"/>
      <c r="V41" s="377"/>
      <c r="W41" s="400"/>
      <c r="Y41" s="18"/>
      <c r="Z41" s="23"/>
      <c r="AA41" s="23"/>
      <c r="AB41" s="26"/>
      <c r="AD41" s="124"/>
      <c r="AE41"/>
      <c r="AF41" s="125"/>
    </row>
    <row r="42" spans="1:32">
      <c r="A42" s="340">
        <v>46076</v>
      </c>
      <c r="B42" s="341" t="s">
        <v>15</v>
      </c>
      <c r="C42" s="299" t="s">
        <v>15</v>
      </c>
      <c r="D42" s="377"/>
      <c r="E42" s="379"/>
      <c r="F42" s="378">
        <v>-150</v>
      </c>
      <c r="G42" s="379"/>
      <c r="H42" s="377"/>
      <c r="I42" s="377"/>
      <c r="J42" s="377"/>
      <c r="K42" s="377"/>
      <c r="L42" s="377"/>
      <c r="M42" s="377"/>
      <c r="N42" s="377"/>
      <c r="O42" s="379"/>
      <c r="P42" s="378"/>
      <c r="Q42" s="377"/>
      <c r="R42" s="377"/>
      <c r="S42" s="377"/>
      <c r="T42" s="377"/>
      <c r="U42" s="377"/>
      <c r="V42" s="377"/>
      <c r="W42" s="400"/>
      <c r="Y42" s="18"/>
      <c r="Z42" s="23"/>
      <c r="AA42" s="23"/>
      <c r="AB42" s="26"/>
      <c r="AD42" s="124"/>
      <c r="AE42"/>
      <c r="AF42" s="125"/>
    </row>
    <row r="43" spans="1:32">
      <c r="A43" s="340">
        <v>46076</v>
      </c>
      <c r="B43" s="341" t="s">
        <v>208</v>
      </c>
      <c r="C43" s="299" t="s">
        <v>8</v>
      </c>
      <c r="D43" s="377"/>
      <c r="E43" s="379"/>
      <c r="F43" s="378">
        <v>-40</v>
      </c>
      <c r="G43" s="379"/>
      <c r="H43" s="377"/>
      <c r="I43" s="377"/>
      <c r="J43" s="377"/>
      <c r="K43" s="377"/>
      <c r="L43" s="377"/>
      <c r="M43" s="377"/>
      <c r="N43" s="377"/>
      <c r="O43" s="379"/>
      <c r="P43" s="378"/>
      <c r="Q43" s="377"/>
      <c r="R43" s="377"/>
      <c r="S43" s="377"/>
      <c r="T43" s="377"/>
      <c r="U43" s="377"/>
      <c r="V43" s="377"/>
      <c r="W43" s="400"/>
      <c r="Y43" s="18"/>
      <c r="Z43" s="23"/>
      <c r="AA43" s="23"/>
      <c r="AB43" s="26"/>
      <c r="AD43" s="124"/>
      <c r="AE43"/>
      <c r="AF43" s="125"/>
    </row>
    <row r="44" spans="1:32" s="342" customFormat="1">
      <c r="A44" s="340">
        <v>46079</v>
      </c>
      <c r="B44" s="341" t="s">
        <v>209</v>
      </c>
      <c r="C44" s="299" t="s">
        <v>17</v>
      </c>
      <c r="D44" s="377"/>
      <c r="E44" s="379"/>
      <c r="F44" s="378"/>
      <c r="G44" s="379">
        <v>-165</v>
      </c>
      <c r="H44" s="377"/>
      <c r="I44" s="377"/>
      <c r="J44" s="377"/>
      <c r="K44" s="377"/>
      <c r="L44" s="377"/>
      <c r="M44" s="377"/>
      <c r="N44" s="377"/>
      <c r="O44" s="379"/>
      <c r="P44" s="378"/>
      <c r="Q44" s="377"/>
      <c r="R44" s="377"/>
      <c r="S44" s="377"/>
      <c r="T44" s="377"/>
      <c r="U44" s="377"/>
      <c r="V44" s="377"/>
      <c r="W44" s="400"/>
      <c r="Y44" s="343"/>
      <c r="Z44" s="23"/>
      <c r="AA44" s="23"/>
      <c r="AB44" s="26"/>
      <c r="AD44" s="370"/>
      <c r="AE44" s="371"/>
      <c r="AF44" s="372"/>
    </row>
    <row r="45" spans="1:32" s="342" customFormat="1">
      <c r="A45" s="340">
        <v>46076</v>
      </c>
      <c r="B45" s="341" t="s">
        <v>189</v>
      </c>
      <c r="C45" s="299" t="s">
        <v>8</v>
      </c>
      <c r="D45" s="377"/>
      <c r="E45" s="379"/>
      <c r="F45" s="378">
        <v>-75</v>
      </c>
      <c r="G45" s="379"/>
      <c r="H45" s="377"/>
      <c r="I45" s="377"/>
      <c r="J45" s="377"/>
      <c r="K45" s="377"/>
      <c r="L45" s="377"/>
      <c r="M45" s="377"/>
      <c r="N45" s="377"/>
      <c r="O45" s="379"/>
      <c r="P45" s="378"/>
      <c r="Q45" s="377"/>
      <c r="R45" s="377"/>
      <c r="S45" s="377"/>
      <c r="T45" s="377"/>
      <c r="U45" s="377"/>
      <c r="V45" s="377"/>
      <c r="W45" s="400"/>
      <c r="Y45" s="343"/>
      <c r="Z45" s="23"/>
      <c r="AA45" s="23"/>
      <c r="AB45" s="26"/>
      <c r="AD45" s="370"/>
      <c r="AE45" s="371"/>
      <c r="AF45" s="372"/>
    </row>
    <row r="46" spans="1:32" s="342" customFormat="1">
      <c r="A46" s="340">
        <v>46080</v>
      </c>
      <c r="B46" s="341" t="s">
        <v>16</v>
      </c>
      <c r="C46" s="299" t="s">
        <v>16</v>
      </c>
      <c r="D46" s="377"/>
      <c r="E46" s="379"/>
      <c r="F46" s="378">
        <v>-100</v>
      </c>
      <c r="G46" s="379"/>
      <c r="H46" s="377"/>
      <c r="I46" s="377"/>
      <c r="J46" s="377"/>
      <c r="K46" s="377"/>
      <c r="L46" s="377"/>
      <c r="M46" s="377"/>
      <c r="N46" s="377"/>
      <c r="O46" s="379"/>
      <c r="P46" s="378"/>
      <c r="Q46" s="377"/>
      <c r="R46" s="377"/>
      <c r="S46" s="377"/>
      <c r="T46" s="377"/>
      <c r="U46" s="377"/>
      <c r="V46" s="377"/>
      <c r="W46" s="400"/>
      <c r="Y46" s="343"/>
      <c r="Z46" s="23"/>
      <c r="AA46" s="23"/>
      <c r="AB46" s="26"/>
      <c r="AD46" s="370"/>
      <c r="AE46" s="371"/>
      <c r="AF46" s="372"/>
    </row>
    <row r="47" spans="1:32" s="342" customFormat="1">
      <c r="A47" s="340">
        <v>46080</v>
      </c>
      <c r="B47" s="341" t="s">
        <v>13</v>
      </c>
      <c r="C47" s="299" t="s">
        <v>13</v>
      </c>
      <c r="D47" s="377"/>
      <c r="E47" s="379"/>
      <c r="F47" s="378">
        <f>-150-100</f>
        <v>-250</v>
      </c>
      <c r="G47" s="379">
        <v>-70</v>
      </c>
      <c r="H47" s="377"/>
      <c r="I47" s="377"/>
      <c r="J47" s="377"/>
      <c r="K47" s="377"/>
      <c r="L47" s="377"/>
      <c r="M47" s="377"/>
      <c r="N47" s="377"/>
      <c r="O47" s="379"/>
      <c r="P47" s="378"/>
      <c r="Q47" s="377"/>
      <c r="R47" s="377"/>
      <c r="S47" s="377"/>
      <c r="T47" s="377"/>
      <c r="U47" s="377"/>
      <c r="V47" s="377"/>
      <c r="W47" s="400"/>
      <c r="Y47" s="343"/>
      <c r="Z47" s="23"/>
      <c r="AA47" s="23"/>
      <c r="AB47" s="26"/>
      <c r="AD47" s="370"/>
      <c r="AE47" s="371"/>
      <c r="AF47" s="372"/>
    </row>
    <row r="48" spans="1:32" s="342" customFormat="1">
      <c r="A48" s="340">
        <v>46081</v>
      </c>
      <c r="B48" s="341" t="s">
        <v>17</v>
      </c>
      <c r="C48" s="299" t="s">
        <v>17</v>
      </c>
      <c r="D48" s="377"/>
      <c r="E48" s="379"/>
      <c r="F48" s="378">
        <v>-279</v>
      </c>
      <c r="G48" s="379"/>
      <c r="H48" s="377"/>
      <c r="I48" s="377"/>
      <c r="J48" s="377"/>
      <c r="K48" s="377"/>
      <c r="L48" s="377"/>
      <c r="M48" s="377"/>
      <c r="N48" s="377"/>
      <c r="O48" s="379"/>
      <c r="P48" s="378"/>
      <c r="Q48" s="377"/>
      <c r="R48" s="377"/>
      <c r="S48" s="377"/>
      <c r="T48" s="377"/>
      <c r="U48" s="377"/>
      <c r="V48" s="377"/>
      <c r="W48" s="400"/>
      <c r="Y48" s="343"/>
      <c r="Z48" s="23"/>
      <c r="AA48" s="23"/>
      <c r="AB48" s="26"/>
      <c r="AD48" s="370"/>
      <c r="AE48" s="371"/>
      <c r="AF48" s="372"/>
    </row>
    <row r="49" spans="1:32" s="342" customFormat="1">
      <c r="A49" s="340">
        <v>46081</v>
      </c>
      <c r="B49" s="341" t="s">
        <v>170</v>
      </c>
      <c r="C49" s="299" t="s">
        <v>170</v>
      </c>
      <c r="D49" s="377"/>
      <c r="E49" s="379">
        <v>4784</v>
      </c>
      <c r="F49" s="378"/>
      <c r="G49" s="379"/>
      <c r="H49" s="377"/>
      <c r="I49" s="377"/>
      <c r="J49" s="377"/>
      <c r="K49" s="377"/>
      <c r="L49" s="377"/>
      <c r="M49" s="377"/>
      <c r="N49" s="377"/>
      <c r="O49" s="379"/>
      <c r="P49" s="378"/>
      <c r="Q49" s="377"/>
      <c r="R49" s="377"/>
      <c r="S49" s="377"/>
      <c r="T49" s="377"/>
      <c r="U49" s="377"/>
      <c r="V49" s="377"/>
      <c r="W49" s="400"/>
      <c r="Y49" s="343"/>
      <c r="Z49" s="23"/>
      <c r="AA49" s="23"/>
      <c r="AB49" s="26"/>
      <c r="AD49" s="370"/>
      <c r="AE49" s="371"/>
      <c r="AF49" s="372"/>
    </row>
    <row r="50" spans="1:32" s="342" customFormat="1" ht="11.25" customHeight="1">
      <c r="A50" s="284">
        <v>46080</v>
      </c>
      <c r="B50" s="288" t="s">
        <v>3</v>
      </c>
      <c r="C50" s="299" t="s">
        <v>3</v>
      </c>
      <c r="D50" s="188"/>
      <c r="E50" s="188">
        <v>-25</v>
      </c>
      <c r="F50" s="326"/>
      <c r="G50" s="327"/>
      <c r="H50" s="188"/>
      <c r="I50" s="188">
        <v>25</v>
      </c>
      <c r="J50" s="188"/>
      <c r="K50" s="188"/>
      <c r="L50" s="188"/>
      <c r="M50" s="188"/>
      <c r="N50" s="188"/>
      <c r="O50" s="327"/>
      <c r="P50" s="188"/>
      <c r="Q50" s="188"/>
      <c r="R50" s="188"/>
      <c r="S50" s="188"/>
      <c r="T50" s="188"/>
      <c r="U50" s="188"/>
      <c r="V50" s="188"/>
      <c r="W50" s="323"/>
      <c r="X50" s="194"/>
      <c r="Y50" s="343"/>
      <c r="Z50" s="23"/>
      <c r="AA50" s="23"/>
      <c r="AB50" s="26"/>
      <c r="AD50" s="370"/>
      <c r="AE50" s="371"/>
      <c r="AF50" s="372"/>
    </row>
    <row r="51" spans="1:32">
      <c r="A51" s="285">
        <v>46080</v>
      </c>
      <c r="B51" s="102" t="s">
        <v>149</v>
      </c>
      <c r="C51" s="386" t="s">
        <v>149</v>
      </c>
      <c r="D51" s="201"/>
      <c r="E51" s="201">
        <f>-SUM(F51:G51)</f>
        <v>-6084.9400000000005</v>
      </c>
      <c r="F51" s="328">
        <f>-SUM(F4:F50)</f>
        <v>4311.9400000000005</v>
      </c>
      <c r="G51" s="329">
        <f>-SUM(G4:G50)</f>
        <v>1773</v>
      </c>
      <c r="H51" s="201"/>
      <c r="I51" s="201"/>
      <c r="J51" s="383"/>
      <c r="K51" s="383"/>
      <c r="L51" s="383"/>
      <c r="M51" s="383"/>
      <c r="N51" s="383"/>
      <c r="O51" s="382"/>
      <c r="P51" s="381"/>
      <c r="Q51" s="383"/>
      <c r="R51" s="383"/>
      <c r="S51" s="383"/>
      <c r="T51" s="383"/>
      <c r="U51" s="383"/>
      <c r="V51" s="382"/>
      <c r="W51" s="401"/>
      <c r="Y51" s="18"/>
      <c r="Z51" s="23"/>
      <c r="AA51" s="23"/>
      <c r="AB51" s="26"/>
      <c r="AD51" s="124"/>
      <c r="AE51"/>
      <c r="AF51" s="125"/>
    </row>
    <row r="52" spans="1:32">
      <c r="A52" s="286"/>
      <c r="B52" s="387"/>
      <c r="C52" s="388"/>
      <c r="D52" s="402"/>
      <c r="E52" s="403">
        <f>9200-SUM(E3:E51)</f>
        <v>-7084.3199999999979</v>
      </c>
      <c r="F52" s="404"/>
      <c r="G52" s="403"/>
      <c r="H52" s="402"/>
      <c r="I52" s="402">
        <v>2000</v>
      </c>
      <c r="J52" s="402"/>
      <c r="K52" s="402">
        <v>2000</v>
      </c>
      <c r="L52" s="402"/>
      <c r="M52" s="402">
        <v>2000</v>
      </c>
      <c r="N52" s="402"/>
      <c r="O52" s="403">
        <v>1000</v>
      </c>
      <c r="P52" s="404">
        <v>3136</v>
      </c>
      <c r="Q52" s="402"/>
      <c r="R52" s="402"/>
      <c r="S52" s="402"/>
      <c r="T52" s="402"/>
      <c r="U52" s="402"/>
      <c r="V52" s="403">
        <v>2606</v>
      </c>
      <c r="W52" s="405">
        <f>74+45.96</f>
        <v>119.96000000000001</v>
      </c>
      <c r="Y52" s="30"/>
      <c r="Z52" s="48"/>
      <c r="AA52" s="48"/>
      <c r="AB52" s="49"/>
      <c r="AD52" s="126"/>
      <c r="AE52" s="127"/>
      <c r="AF52" s="128"/>
    </row>
    <row r="53" spans="1:32">
      <c r="A53" s="31" t="s">
        <v>134</v>
      </c>
      <c r="B53" s="31"/>
      <c r="C53" s="146"/>
      <c r="D53" s="197">
        <f t="shared" ref="D53:V53" si="1">SUM(D3:D52)</f>
        <v>2000</v>
      </c>
      <c r="E53" s="197">
        <f>SUM(E3:E52)</f>
        <v>9200</v>
      </c>
      <c r="F53" s="197">
        <f t="shared" si="1"/>
        <v>0</v>
      </c>
      <c r="G53" s="197">
        <f t="shared" si="1"/>
        <v>0</v>
      </c>
      <c r="H53" s="197">
        <f t="shared" si="1"/>
        <v>14645.080000000002</v>
      </c>
      <c r="I53" s="197">
        <f t="shared" si="1"/>
        <v>57040.000000000007</v>
      </c>
      <c r="J53" s="197">
        <f t="shared" si="1"/>
        <v>153796</v>
      </c>
      <c r="K53" s="197">
        <f t="shared" si="1"/>
        <v>69712.679999999993</v>
      </c>
      <c r="L53" s="197">
        <f t="shared" si="1"/>
        <v>20985.75</v>
      </c>
      <c r="M53" s="197">
        <f t="shared" si="1"/>
        <v>32000.370000000003</v>
      </c>
      <c r="N53" s="197">
        <f t="shared" si="1"/>
        <v>4000</v>
      </c>
      <c r="O53" s="197">
        <f t="shared" si="1"/>
        <v>26572.500000000004</v>
      </c>
      <c r="P53" s="197">
        <f t="shared" si="1"/>
        <v>213589</v>
      </c>
      <c r="Q53" s="197">
        <f t="shared" si="1"/>
        <v>130109</v>
      </c>
      <c r="R53" s="197">
        <f t="shared" si="1"/>
        <v>65171</v>
      </c>
      <c r="S53" s="197">
        <f>SUM(S3:S52)</f>
        <v>4185</v>
      </c>
      <c r="T53" s="197">
        <f t="shared" si="1"/>
        <v>33181</v>
      </c>
      <c r="U53" s="197">
        <f t="shared" si="1"/>
        <v>27298</v>
      </c>
      <c r="V53" s="197">
        <f t="shared" si="1"/>
        <v>231983</v>
      </c>
      <c r="W53" s="197">
        <f>SUM(W3:W52)</f>
        <v>3246.86</v>
      </c>
      <c r="Y53" s="100" t="s">
        <v>29</v>
      </c>
      <c r="Z53" s="32">
        <f>SUM(Z4:Z51)</f>
        <v>11985</v>
      </c>
      <c r="AA53" s="32">
        <f>SUM(AA4:AA51)</f>
        <v>-12830.68</v>
      </c>
      <c r="AB53" s="101">
        <f>SUM(AB4:AB51)</f>
        <v>-845.68000000000006</v>
      </c>
      <c r="AC53" s="11"/>
      <c r="AD53" s="100"/>
      <c r="AE53" s="57"/>
      <c r="AF53" s="102"/>
    </row>
    <row r="54" spans="1:32">
      <c r="A54" s="31"/>
      <c r="B54" s="31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536"/>
      <c r="P54" s="537"/>
      <c r="Q54" s="537"/>
      <c r="R54" s="537"/>
      <c r="S54" s="537"/>
      <c r="T54" s="538"/>
      <c r="U54" s="538"/>
      <c r="V54" s="537"/>
      <c r="W54" s="96"/>
      <c r="Y54" s="31"/>
      <c r="Z54" s="95"/>
      <c r="AA54" s="95"/>
      <c r="AB54" s="95"/>
      <c r="AD54" s="31"/>
      <c r="AE54" s="24"/>
    </row>
    <row r="55" spans="1:32">
      <c r="A55" s="31"/>
      <c r="B55" s="31"/>
      <c r="C55"/>
      <c r="D55"/>
      <c r="F55"/>
      <c r="H55" s="96"/>
      <c r="J55"/>
      <c r="K55"/>
      <c r="L55"/>
      <c r="M55"/>
      <c r="Q55" s="539"/>
      <c r="R55" s="540"/>
      <c r="S55" s="540"/>
      <c r="T55" s="540"/>
      <c r="U55" s="540"/>
      <c r="V55" s="541"/>
      <c r="W55" s="641">
        <f>SUM(D53:W53)</f>
        <v>1098715.24</v>
      </c>
      <c r="Z55" s="95"/>
      <c r="AA55" s="95"/>
      <c r="AB55" s="95"/>
      <c r="AD55" s="31"/>
      <c r="AE55" s="24"/>
    </row>
    <row r="56" spans="1:32">
      <c r="A56"/>
      <c r="B56"/>
      <c r="C56"/>
      <c r="D56"/>
      <c r="F56"/>
      <c r="H56" s="96"/>
      <c r="I56"/>
      <c r="J56"/>
      <c r="K56"/>
      <c r="L56"/>
      <c r="M56" s="134"/>
      <c r="N56"/>
      <c r="O56" s="454"/>
      <c r="Q56" s="454"/>
      <c r="R56" s="456"/>
      <c r="S56" s="456"/>
      <c r="T56" s="456"/>
      <c r="U56" s="456"/>
      <c r="V56" s="456"/>
      <c r="W56" s="281"/>
    </row>
    <row r="57" spans="1:32">
      <c r="A57"/>
      <c r="B57"/>
      <c r="C57"/>
      <c r="D57"/>
      <c r="F57"/>
      <c r="H57" s="96"/>
      <c r="I57"/>
      <c r="J57"/>
      <c r="K57"/>
      <c r="L57"/>
      <c r="M57"/>
      <c r="N57"/>
      <c r="O57" s="542"/>
      <c r="P57" s="436"/>
      <c r="Q57" s="454"/>
      <c r="R57" s="456"/>
      <c r="S57" s="456"/>
      <c r="T57" s="456"/>
      <c r="U57" s="456"/>
      <c r="V57" s="282"/>
      <c r="W57" s="282"/>
      <c r="X57" s="37"/>
      <c r="Y57" s="38" t="s">
        <v>135</v>
      </c>
    </row>
    <row r="58" spans="1:32">
      <c r="A58"/>
      <c r="B58"/>
      <c r="C58"/>
      <c r="D58"/>
      <c r="F58"/>
      <c r="H58" s="96"/>
      <c r="I58"/>
      <c r="J58"/>
      <c r="K58"/>
      <c r="L58"/>
      <c r="M58"/>
      <c r="N58"/>
      <c r="O58"/>
      <c r="P58"/>
      <c r="Q58"/>
      <c r="V58" s="204" t="s">
        <v>136</v>
      </c>
      <c r="W58" s="279">
        <f>SUM(H53:O53)</f>
        <v>378752.38</v>
      </c>
      <c r="X58" s="37"/>
      <c r="Y58" s="41">
        <f>W58/W61</f>
        <v>0.34472296934736246</v>
      </c>
    </row>
    <row r="59" spans="1:32">
      <c r="A59"/>
      <c r="B59"/>
      <c r="C59"/>
      <c r="D59"/>
      <c r="F59"/>
      <c r="H59" t="s">
        <v>210</v>
      </c>
      <c r="I59"/>
      <c r="J59"/>
      <c r="K59"/>
      <c r="L59"/>
      <c r="M59"/>
      <c r="N59"/>
      <c r="O59"/>
      <c r="P59"/>
      <c r="Q59"/>
      <c r="V59" s="204" t="s">
        <v>137</v>
      </c>
      <c r="W59" s="279">
        <f>SUM(P53:W53)</f>
        <v>708762.86</v>
      </c>
      <c r="X59" s="37"/>
      <c r="Y59" s="41">
        <f>W59/W61</f>
        <v>0.64508330657177382</v>
      </c>
    </row>
    <row r="60" spans="1:32">
      <c r="A60"/>
      <c r="B60"/>
      <c r="C60"/>
      <c r="D60"/>
      <c r="E60"/>
      <c r="F60"/>
      <c r="H60"/>
      <c r="I60"/>
      <c r="J60"/>
      <c r="K60"/>
      <c r="L60"/>
      <c r="M60"/>
      <c r="N60"/>
      <c r="O60"/>
      <c r="P60"/>
      <c r="Q60"/>
      <c r="V60" s="204" t="s">
        <v>138</v>
      </c>
      <c r="W60" s="279">
        <f>E53+D53</f>
        <v>11200</v>
      </c>
      <c r="X60" s="37"/>
      <c r="Y60" s="41">
        <f>W60/W61</f>
        <v>1.0193724080863754E-2</v>
      </c>
    </row>
    <row r="61" spans="1:32">
      <c r="A61"/>
      <c r="B61"/>
      <c r="C61"/>
      <c r="D61"/>
      <c r="E61"/>
      <c r="F61"/>
      <c r="H61"/>
      <c r="I61"/>
      <c r="J61"/>
      <c r="K61"/>
      <c r="L61"/>
      <c r="M61"/>
      <c r="N61"/>
      <c r="O61"/>
      <c r="P61"/>
      <c r="Q61"/>
      <c r="V61" s="204" t="s">
        <v>56</v>
      </c>
      <c r="W61" s="642">
        <f>SUM(W58:W60)</f>
        <v>1098715.24</v>
      </c>
      <c r="X61" s="37"/>
      <c r="Y61" s="43"/>
    </row>
    <row r="62" spans="1:32">
      <c r="A62"/>
      <c r="B62"/>
      <c r="C62"/>
      <c r="D62"/>
      <c r="E62"/>
      <c r="H62"/>
      <c r="I62"/>
      <c r="J62"/>
      <c r="K62"/>
      <c r="L62"/>
      <c r="M62"/>
      <c r="N62"/>
      <c r="O62"/>
      <c r="P62"/>
      <c r="Q62"/>
      <c r="V62" s="35"/>
      <c r="W62" s="36"/>
      <c r="X62" s="37"/>
      <c r="Y62" s="37"/>
    </row>
    <row r="63" spans="1:32">
      <c r="A63"/>
      <c r="B63"/>
      <c r="C63"/>
      <c r="D63"/>
      <c r="E63"/>
      <c r="H63"/>
      <c r="I63"/>
      <c r="J63"/>
      <c r="K63"/>
      <c r="L63"/>
      <c r="M63"/>
      <c r="N63"/>
      <c r="O63"/>
      <c r="P63"/>
      <c r="Q63"/>
      <c r="V63" s="35"/>
      <c r="W63" s="44">
        <f>W61-W55</f>
        <v>0</v>
      </c>
      <c r="X63" s="37"/>
      <c r="Y63" s="37"/>
    </row>
    <row r="64" spans="1:32">
      <c r="A64"/>
      <c r="B64"/>
      <c r="C64"/>
      <c r="D64"/>
      <c r="E64"/>
      <c r="H64"/>
      <c r="I64"/>
      <c r="J64"/>
      <c r="K64"/>
      <c r="L64"/>
      <c r="M64"/>
      <c r="N64"/>
      <c r="O64"/>
      <c r="P64"/>
      <c r="Q64"/>
      <c r="V64" s="456"/>
      <c r="W64" s="281"/>
    </row>
    <row r="65" spans="1:23">
      <c r="A65"/>
      <c r="B65"/>
      <c r="C65"/>
      <c r="D65"/>
      <c r="E65"/>
      <c r="H65"/>
      <c r="I65"/>
      <c r="J65"/>
      <c r="K65"/>
      <c r="L65"/>
      <c r="M65"/>
      <c r="N65"/>
      <c r="O65"/>
      <c r="Q65"/>
      <c r="V65" s="456"/>
      <c r="W65" s="534"/>
    </row>
    <row r="66" spans="1:23">
      <c r="A66"/>
      <c r="B66"/>
      <c r="C66"/>
      <c r="D66"/>
      <c r="E66"/>
      <c r="H66"/>
      <c r="I66"/>
      <c r="J66"/>
      <c r="K66"/>
      <c r="L66"/>
      <c r="M66"/>
      <c r="N66"/>
      <c r="O66"/>
      <c r="Q66"/>
      <c r="V66" s="456"/>
      <c r="W66" s="281"/>
    </row>
    <row r="67" spans="1:23">
      <c r="A67"/>
      <c r="B67"/>
      <c r="C67"/>
      <c r="D67"/>
      <c r="E67"/>
      <c r="F67"/>
      <c r="G67"/>
      <c r="I67"/>
      <c r="J67"/>
      <c r="K67"/>
      <c r="L67"/>
      <c r="M67"/>
      <c r="N67"/>
      <c r="O67"/>
      <c r="P67"/>
      <c r="Q67"/>
      <c r="V67" s="456"/>
      <c r="W67" s="535"/>
    </row>
    <row r="68" spans="1:23">
      <c r="A68"/>
      <c r="B68"/>
      <c r="C68"/>
      <c r="D68"/>
      <c r="E68"/>
      <c r="F68"/>
      <c r="G68"/>
      <c r="I68"/>
      <c r="J68"/>
      <c r="K68"/>
      <c r="L68"/>
      <c r="M68"/>
      <c r="N68"/>
      <c r="O68"/>
      <c r="P68"/>
      <c r="Q68"/>
    </row>
    <row r="69" spans="1:23">
      <c r="A69"/>
      <c r="B69"/>
      <c r="C69"/>
      <c r="D69"/>
      <c r="E69"/>
      <c r="F69"/>
      <c r="G69"/>
      <c r="I69"/>
      <c r="J69"/>
      <c r="K69"/>
      <c r="L69"/>
      <c r="M69"/>
      <c r="N69"/>
      <c r="O69"/>
      <c r="P69"/>
      <c r="Q69"/>
    </row>
    <row r="70" spans="1:23">
      <c r="A70"/>
      <c r="B70"/>
      <c r="C70"/>
      <c r="D70"/>
      <c r="E70"/>
      <c r="F70"/>
      <c r="G70"/>
      <c r="I70"/>
      <c r="J70"/>
      <c r="K70"/>
      <c r="L70"/>
      <c r="M70"/>
      <c r="N70"/>
      <c r="O70"/>
      <c r="P70"/>
      <c r="Q70"/>
    </row>
    <row r="71" spans="1:23">
      <c r="A71"/>
      <c r="B71"/>
      <c r="E71"/>
      <c r="F71"/>
      <c r="G71"/>
      <c r="I71"/>
      <c r="J71"/>
      <c r="K71"/>
      <c r="L71"/>
      <c r="M71"/>
      <c r="N71"/>
      <c r="O71"/>
      <c r="P71"/>
      <c r="Q71"/>
    </row>
    <row r="72" spans="1:23">
      <c r="A72"/>
      <c r="B72"/>
      <c r="G72"/>
      <c r="H72"/>
      <c r="I72"/>
      <c r="J72"/>
      <c r="K72"/>
      <c r="L72"/>
      <c r="M72"/>
      <c r="N72"/>
      <c r="O72"/>
      <c r="P72"/>
      <c r="Q72"/>
    </row>
    <row r="73" spans="1:23">
      <c r="A73"/>
      <c r="B73"/>
      <c r="G73"/>
      <c r="H73"/>
      <c r="I73"/>
      <c r="J73"/>
      <c r="K73"/>
      <c r="L73"/>
      <c r="M73"/>
      <c r="N73"/>
      <c r="O73"/>
      <c r="P73"/>
      <c r="Q73"/>
    </row>
    <row r="74" spans="1:23">
      <c r="A74"/>
      <c r="B74"/>
      <c r="C74"/>
      <c r="G74"/>
      <c r="H74"/>
      <c r="I74"/>
      <c r="J74"/>
      <c r="K74"/>
      <c r="L74"/>
      <c r="M74"/>
      <c r="N74"/>
      <c r="O74"/>
      <c r="P74"/>
      <c r="Q74"/>
    </row>
    <row r="75" spans="1:23">
      <c r="A75"/>
      <c r="B75"/>
      <c r="G75"/>
      <c r="H75"/>
      <c r="I75"/>
      <c r="J75"/>
      <c r="K75"/>
      <c r="L75"/>
      <c r="M75"/>
      <c r="N75"/>
      <c r="O75"/>
      <c r="P75"/>
      <c r="Q75"/>
    </row>
    <row r="76" spans="1:23">
      <c r="A76"/>
      <c r="B76"/>
      <c r="G76"/>
      <c r="H76"/>
      <c r="I76"/>
      <c r="J76"/>
      <c r="K76"/>
      <c r="L76"/>
      <c r="M76"/>
      <c r="N76"/>
      <c r="O76"/>
      <c r="P76"/>
      <c r="Q76"/>
    </row>
    <row r="77" spans="1:23">
      <c r="A77"/>
      <c r="B77"/>
      <c r="G77"/>
      <c r="H77"/>
      <c r="I77"/>
      <c r="J77"/>
      <c r="K77"/>
      <c r="L77"/>
      <c r="M77"/>
      <c r="N77"/>
      <c r="O77"/>
      <c r="P77"/>
      <c r="Q77"/>
    </row>
    <row r="78" spans="1:23">
      <c r="A78"/>
      <c r="B78"/>
      <c r="G78"/>
      <c r="H78"/>
      <c r="I78"/>
      <c r="J78"/>
      <c r="K78"/>
      <c r="L78"/>
      <c r="M78"/>
      <c r="N78"/>
      <c r="O78"/>
      <c r="P78"/>
      <c r="Q78"/>
    </row>
    <row r="79" spans="1:23">
      <c r="A79"/>
      <c r="B79"/>
      <c r="G79"/>
      <c r="H79"/>
      <c r="I79"/>
      <c r="J79"/>
      <c r="K79"/>
      <c r="L79"/>
      <c r="M79"/>
      <c r="N79"/>
      <c r="O79"/>
      <c r="P79"/>
      <c r="Q79"/>
    </row>
    <row r="80" spans="1:2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3">
      <c r="B81"/>
      <c r="C81"/>
      <c r="D81"/>
      <c r="E81"/>
      <c r="F81"/>
      <c r="G81"/>
      <c r="H81"/>
      <c r="I81"/>
      <c r="J81"/>
      <c r="K81"/>
      <c r="L81"/>
      <c r="M81"/>
    </row>
    <row r="82" spans="2:13">
      <c r="B82"/>
      <c r="C82"/>
      <c r="D82"/>
      <c r="E82"/>
      <c r="F82"/>
      <c r="G82"/>
      <c r="H82"/>
      <c r="I82"/>
      <c r="J82"/>
      <c r="K82"/>
      <c r="L82"/>
      <c r="M82"/>
    </row>
    <row r="83" spans="2:13">
      <c r="B83"/>
      <c r="C83"/>
      <c r="D83"/>
      <c r="E83"/>
      <c r="F83"/>
      <c r="G83"/>
      <c r="H83"/>
      <c r="I83"/>
      <c r="J83"/>
      <c r="K83"/>
      <c r="L83"/>
      <c r="M83"/>
    </row>
    <row r="84" spans="2:13">
      <c r="B84"/>
      <c r="C84"/>
      <c r="D84"/>
      <c r="E84"/>
      <c r="F84"/>
      <c r="G84"/>
      <c r="H84"/>
      <c r="I84"/>
      <c r="J84"/>
      <c r="K84"/>
      <c r="L84"/>
      <c r="M84"/>
    </row>
    <row r="85" spans="2:13">
      <c r="B85"/>
      <c r="C85"/>
      <c r="D85"/>
      <c r="E85"/>
      <c r="F85"/>
      <c r="G85"/>
      <c r="H85"/>
      <c r="I85"/>
      <c r="J85"/>
      <c r="K85"/>
      <c r="L85"/>
      <c r="M85"/>
    </row>
    <row r="86" spans="2:13">
      <c r="B86"/>
      <c r="C86"/>
      <c r="D86"/>
      <c r="E86"/>
      <c r="F86"/>
      <c r="G86"/>
      <c r="H86"/>
      <c r="I86"/>
      <c r="J86"/>
      <c r="K86"/>
      <c r="L86"/>
      <c r="M86"/>
    </row>
    <row r="87" spans="2:13">
      <c r="B87"/>
      <c r="C87"/>
      <c r="D87"/>
      <c r="E87"/>
      <c r="F87"/>
      <c r="G87"/>
    </row>
    <row r="88" spans="2:13">
      <c r="B88"/>
      <c r="C88"/>
      <c r="D88"/>
      <c r="E88"/>
      <c r="F88"/>
      <c r="G88"/>
    </row>
    <row r="89" spans="2:13">
      <c r="B89"/>
      <c r="C89"/>
      <c r="D89"/>
      <c r="E89"/>
      <c r="F89"/>
      <c r="G89"/>
    </row>
    <row r="90" spans="2:13">
      <c r="B90"/>
      <c r="C90"/>
      <c r="D90"/>
      <c r="E90"/>
      <c r="F90"/>
      <c r="G90"/>
    </row>
    <row r="91" spans="2:13">
      <c r="B91"/>
      <c r="C91"/>
      <c r="D91"/>
      <c r="E91"/>
      <c r="F91"/>
      <c r="G91"/>
    </row>
    <row r="92" spans="2:13">
      <c r="B92"/>
      <c r="C92"/>
      <c r="D92"/>
      <c r="E92"/>
      <c r="F92"/>
      <c r="G92"/>
    </row>
    <row r="93" spans="2:13">
      <c r="B93"/>
      <c r="C93"/>
      <c r="D93"/>
      <c r="E93"/>
      <c r="F93"/>
      <c r="G93"/>
    </row>
    <row r="94" spans="2:13">
      <c r="B94"/>
      <c r="C94"/>
      <c r="D94"/>
      <c r="E94"/>
      <c r="F94"/>
      <c r="G94"/>
    </row>
    <row r="95" spans="2:13">
      <c r="B95"/>
      <c r="C95"/>
      <c r="D95"/>
      <c r="E95"/>
      <c r="F95"/>
      <c r="G95"/>
    </row>
    <row r="96" spans="2:13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  <row r="136" spans="2:7">
      <c r="B136"/>
      <c r="C136"/>
      <c r="D136"/>
      <c r="E136"/>
      <c r="F136"/>
      <c r="G136"/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</sheetData>
  <autoFilter ref="A3:AG53" xr:uid="{00000000-0001-0000-0C00-000000000000}"/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AG154"/>
  <sheetViews>
    <sheetView topLeftCell="K1" zoomScale="55" zoomScaleNormal="55" zoomScalePageLayoutView="85" workbookViewId="0">
      <selection activeCell="B56" sqref="B56"/>
    </sheetView>
  </sheetViews>
  <sheetFormatPr defaultColWidth="8.85546875" defaultRowHeight="12.75" customHeight="1"/>
  <cols>
    <col min="1" max="1" width="11" style="2" customWidth="1"/>
    <col min="2" max="2" width="23.42578125" style="2" bestFit="1" customWidth="1"/>
    <col min="3" max="3" width="14.5703125" style="2" bestFit="1" customWidth="1"/>
    <col min="4" max="4" width="10.28515625" style="2" customWidth="1"/>
    <col min="5" max="5" width="9.85546875" style="2" customWidth="1"/>
    <col min="6" max="6" width="11.28515625" style="2" customWidth="1"/>
    <col min="7" max="7" width="10.140625" style="2" customWidth="1"/>
    <col min="8" max="8" width="12.140625" style="105" customWidth="1"/>
    <col min="9" max="9" width="10.85546875" style="105" bestFit="1" customWidth="1"/>
    <col min="10" max="10" width="12" style="105" bestFit="1" customWidth="1"/>
    <col min="11" max="11" width="10.85546875" style="105" bestFit="1" customWidth="1"/>
    <col min="12" max="12" width="11.140625" style="105" customWidth="1"/>
    <col min="13" max="13" width="10.7109375" style="105" bestFit="1" customWidth="1"/>
    <col min="14" max="14" width="11.140625" style="105" bestFit="1" customWidth="1"/>
    <col min="15" max="15" width="12.140625" style="105" bestFit="1" customWidth="1"/>
    <col min="16" max="16" width="14.85546875" style="105" bestFit="1" customWidth="1"/>
    <col min="17" max="18" width="13.7109375" style="105" bestFit="1" customWidth="1"/>
    <col min="19" max="19" width="12.5703125" style="105" bestFit="1" customWidth="1"/>
    <col min="20" max="21" width="10.85546875" style="105" bestFit="1" customWidth="1"/>
    <col min="22" max="22" width="17.85546875" style="105" bestFit="1" customWidth="1"/>
    <col min="23" max="23" width="15.5703125" style="33" bestFit="1" customWidth="1"/>
    <col min="24" max="24" width="6.42578125" style="2" customWidth="1"/>
    <col min="25" max="25" width="12.42578125" style="2" customWidth="1"/>
    <col min="26" max="26" width="11.42578125" style="2" bestFit="1" customWidth="1"/>
    <col min="27" max="27" width="13.140625" style="2" customWidth="1"/>
    <col min="28" max="28" width="11.42578125" style="2" bestFit="1" customWidth="1"/>
    <col min="29" max="29" width="5.28515625" style="2" customWidth="1"/>
    <col min="30" max="30" width="15.5703125" style="2" customWidth="1"/>
    <col min="31" max="31" width="13.85546875" style="2" customWidth="1"/>
    <col min="32" max="32" width="8.85546875" style="2"/>
    <col min="33" max="33" width="3.85546875" style="2" customWidth="1"/>
    <col min="34" max="16384" width="8.85546875" style="2"/>
  </cols>
  <sheetData>
    <row r="1" spans="1:33">
      <c r="D1" s="746" t="s">
        <v>211</v>
      </c>
      <c r="E1" s="747"/>
      <c r="F1" s="740" t="s">
        <v>111</v>
      </c>
      <c r="G1" s="741"/>
      <c r="H1" s="748" t="s">
        <v>112</v>
      </c>
      <c r="I1" s="742"/>
      <c r="J1" s="742"/>
      <c r="K1" s="742"/>
      <c r="L1" s="742"/>
      <c r="M1" s="742"/>
      <c r="N1" s="742"/>
      <c r="O1" s="749"/>
      <c r="P1" s="750" t="s">
        <v>113</v>
      </c>
      <c r="Q1" s="751"/>
      <c r="R1" s="751"/>
      <c r="S1" s="751"/>
      <c r="T1" s="751"/>
      <c r="U1" s="751"/>
      <c r="V1" s="751"/>
      <c r="W1" s="557" t="s">
        <v>111</v>
      </c>
    </row>
    <row r="2" spans="1:33">
      <c r="A2" s="331" t="s">
        <v>91</v>
      </c>
      <c r="B2" s="31" t="s">
        <v>114</v>
      </c>
      <c r="C2" s="63" t="s">
        <v>115</v>
      </c>
      <c r="D2" s="137" t="s">
        <v>116</v>
      </c>
      <c r="E2" s="141" t="s">
        <v>117</v>
      </c>
      <c r="F2" s="548" t="s">
        <v>118</v>
      </c>
      <c r="G2" s="549" t="s">
        <v>118</v>
      </c>
      <c r="H2" s="325" t="s">
        <v>27</v>
      </c>
      <c r="I2" s="325" t="s">
        <v>66</v>
      </c>
      <c r="J2" s="325" t="s">
        <v>67</v>
      </c>
      <c r="K2" s="325" t="s">
        <v>25</v>
      </c>
      <c r="L2" s="325" t="s">
        <v>23</v>
      </c>
      <c r="M2" s="325" t="s">
        <v>119</v>
      </c>
      <c r="N2" s="325" t="s">
        <v>16</v>
      </c>
      <c r="O2" s="325" t="s">
        <v>69</v>
      </c>
      <c r="P2" s="554" t="s">
        <v>120</v>
      </c>
      <c r="Q2" s="555" t="s">
        <v>50</v>
      </c>
      <c r="R2" s="555" t="s">
        <v>121</v>
      </c>
      <c r="S2" s="555" t="s">
        <v>53</v>
      </c>
      <c r="T2" s="555" t="s">
        <v>122</v>
      </c>
      <c r="U2" s="555" t="s">
        <v>123</v>
      </c>
      <c r="V2" s="563" t="s">
        <v>124</v>
      </c>
      <c r="W2" s="558" t="s">
        <v>118</v>
      </c>
      <c r="Y2" s="701" t="s">
        <v>125</v>
      </c>
      <c r="Z2" s="730"/>
      <c r="AA2" s="730"/>
      <c r="AB2" s="731"/>
      <c r="AD2" s="694" t="s">
        <v>126</v>
      </c>
      <c r="AE2" s="721"/>
      <c r="AF2" s="722"/>
      <c r="AG2" s="10"/>
    </row>
    <row r="3" spans="1:33">
      <c r="A3" s="330"/>
      <c r="B3" s="384"/>
      <c r="C3" s="385"/>
      <c r="D3" s="196">
        <v>2000</v>
      </c>
      <c r="E3" s="196">
        <v>9000</v>
      </c>
      <c r="F3" s="550">
        <v>0</v>
      </c>
      <c r="G3" s="551">
        <v>0</v>
      </c>
      <c r="H3" s="196">
        <v>14645.080000000002</v>
      </c>
      <c r="I3" s="196">
        <v>50990.000000000007</v>
      </c>
      <c r="J3" s="196">
        <v>151796</v>
      </c>
      <c r="K3" s="196">
        <v>66708.709999999992</v>
      </c>
      <c r="L3" s="196">
        <v>20000.39</v>
      </c>
      <c r="M3" s="196">
        <v>30000.370000000003</v>
      </c>
      <c r="N3" s="196">
        <v>3500</v>
      </c>
      <c r="O3" s="196">
        <v>25152.500000000004</v>
      </c>
      <c r="P3" s="556">
        <v>206508</v>
      </c>
      <c r="Q3" s="196">
        <v>127109</v>
      </c>
      <c r="R3" s="196">
        <v>62955</v>
      </c>
      <c r="S3" s="196">
        <v>3879</v>
      </c>
      <c r="T3" s="196">
        <v>33181</v>
      </c>
      <c r="U3" s="196">
        <v>27298</v>
      </c>
      <c r="V3" s="196">
        <v>213880</v>
      </c>
      <c r="W3" s="559">
        <v>2944.3</v>
      </c>
      <c r="Y3" s="12" t="s">
        <v>7</v>
      </c>
      <c r="Z3" s="13" t="s">
        <v>60</v>
      </c>
      <c r="AA3" s="13" t="s">
        <v>61</v>
      </c>
      <c r="AB3" s="14" t="s">
        <v>62</v>
      </c>
      <c r="AD3" s="15" t="s">
        <v>127</v>
      </c>
      <c r="AE3" s="16"/>
      <c r="AF3" s="81"/>
    </row>
    <row r="4" spans="1:33">
      <c r="A4" s="284">
        <v>46023</v>
      </c>
      <c r="B4" s="288" t="s">
        <v>139</v>
      </c>
      <c r="C4" s="186" t="s">
        <v>22</v>
      </c>
      <c r="D4" s="187"/>
      <c r="E4" s="188">
        <v>-3688</v>
      </c>
      <c r="F4" s="552"/>
      <c r="G4" s="553"/>
      <c r="H4" s="188"/>
      <c r="I4" s="188"/>
      <c r="J4" s="188">
        <v>1000</v>
      </c>
      <c r="K4" s="188"/>
      <c r="L4" s="188">
        <v>485.36</v>
      </c>
      <c r="M4" s="188"/>
      <c r="N4" s="188"/>
      <c r="O4" s="188"/>
      <c r="P4" s="326"/>
      <c r="Q4" s="188"/>
      <c r="R4" s="188"/>
      <c r="S4" s="188"/>
      <c r="T4" s="188"/>
      <c r="U4" s="188"/>
      <c r="V4" s="188"/>
      <c r="W4" s="323"/>
      <c r="Y4" s="18" t="s">
        <v>8</v>
      </c>
      <c r="Z4" s="23">
        <f>Summary!K21</f>
        <v>350</v>
      </c>
      <c r="AA4" s="23">
        <f>SUMIF($C$2:$C$63,Y4,$F$2:$F$63)+SUMIF($C$2:$C$63,Y4,$G$2:$G$63)</f>
        <v>-326</v>
      </c>
      <c r="AB4" s="26">
        <f t="shared" ref="AB4:AB21" si="0">Z4+AA4</f>
        <v>24</v>
      </c>
      <c r="AD4" s="18"/>
      <c r="AE4" s="19"/>
      <c r="AF4" s="103"/>
    </row>
    <row r="5" spans="1:33" s="342" customFormat="1">
      <c r="A5" s="340">
        <v>46023</v>
      </c>
      <c r="B5" s="341" t="s">
        <v>140</v>
      </c>
      <c r="C5" s="186" t="s">
        <v>12</v>
      </c>
      <c r="D5" s="187"/>
      <c r="E5" s="188">
        <f>612-285</f>
        <v>327</v>
      </c>
      <c r="F5" s="326"/>
      <c r="G5" s="327"/>
      <c r="H5" s="188"/>
      <c r="I5" s="188"/>
      <c r="J5" s="188"/>
      <c r="K5" s="188"/>
      <c r="L5" s="188"/>
      <c r="M5" s="188"/>
      <c r="N5" s="188"/>
      <c r="O5" s="188"/>
      <c r="P5" s="326"/>
      <c r="Q5" s="188"/>
      <c r="R5" s="188"/>
      <c r="S5" s="188"/>
      <c r="T5" s="188"/>
      <c r="U5" s="188"/>
      <c r="V5" s="188"/>
      <c r="W5" s="323"/>
      <c r="Y5" s="343" t="s">
        <v>9</v>
      </c>
      <c r="Z5" s="23">
        <f>Summary!K22</f>
        <v>335</v>
      </c>
      <c r="AA5" s="23">
        <f>SUMIF($C$2:$C$63,Y5,$F$2:$F$63)+SUMIF($C$2:$C$63,Y5,$G$2:$G$63)</f>
        <v>-342</v>
      </c>
      <c r="AB5" s="26">
        <f t="shared" si="0"/>
        <v>-7</v>
      </c>
      <c r="AD5" s="346" t="s">
        <v>128</v>
      </c>
      <c r="AE5" s="19"/>
      <c r="AF5" s="344"/>
    </row>
    <row r="6" spans="1:33" s="342" customFormat="1">
      <c r="A6" s="340">
        <v>46023</v>
      </c>
      <c r="B6" s="341" t="s">
        <v>24</v>
      </c>
      <c r="C6" s="186" t="s">
        <v>24</v>
      </c>
      <c r="D6" s="187"/>
      <c r="E6" s="188">
        <v>-200</v>
      </c>
      <c r="F6" s="326"/>
      <c r="G6" s="327"/>
      <c r="H6" s="188"/>
      <c r="I6" s="188"/>
      <c r="J6" s="188"/>
      <c r="K6" s="188"/>
      <c r="L6" s="188"/>
      <c r="M6" s="188"/>
      <c r="N6" s="188"/>
      <c r="O6" s="188"/>
      <c r="P6" s="326"/>
      <c r="Q6" s="188"/>
      <c r="R6" s="188"/>
      <c r="S6" s="188"/>
      <c r="T6" s="188"/>
      <c r="U6" s="188"/>
      <c r="V6" s="188"/>
      <c r="W6" s="323"/>
      <c r="Y6" s="343" t="s">
        <v>10</v>
      </c>
      <c r="Z6" s="23">
        <f>Summary!K23</f>
        <v>20</v>
      </c>
      <c r="AA6" s="23">
        <f>SUMIF($C$2:$C$63,Y6,$F$2:$F$63)+SUMIF($C$2:$C$63,Y6,$G$2:$G$63)</f>
        <v>0</v>
      </c>
      <c r="AB6" s="26">
        <f t="shared" si="0"/>
        <v>20</v>
      </c>
      <c r="AD6" s="343" t="s">
        <v>49</v>
      </c>
      <c r="AE6" s="22"/>
      <c r="AF6" s="344"/>
    </row>
    <row r="7" spans="1:33" s="342" customFormat="1">
      <c r="A7" s="284">
        <v>46023</v>
      </c>
      <c r="B7" s="289" t="s">
        <v>22</v>
      </c>
      <c r="C7" s="186" t="s">
        <v>22</v>
      </c>
      <c r="D7" s="187"/>
      <c r="E7" s="188">
        <v>-4250</v>
      </c>
      <c r="F7" s="326"/>
      <c r="G7" s="327"/>
      <c r="H7" s="188"/>
      <c r="I7" s="188"/>
      <c r="J7" s="188"/>
      <c r="K7" s="188"/>
      <c r="L7" s="188"/>
      <c r="M7" s="188"/>
      <c r="N7" s="188"/>
      <c r="O7" s="188"/>
      <c r="P7" s="326"/>
      <c r="Q7" s="188"/>
      <c r="R7" s="188"/>
      <c r="S7" s="188"/>
      <c r="T7" s="188"/>
      <c r="U7" s="188"/>
      <c r="V7" s="188"/>
      <c r="W7" s="323"/>
      <c r="Y7" s="345" t="s">
        <v>11</v>
      </c>
      <c r="Z7" s="23">
        <f>Summary!K24</f>
        <v>300</v>
      </c>
      <c r="AA7" s="23">
        <f>SUMIF($C$2:$C$63,Y7,$F$2:$F$63)+SUMIF($C$2:$C$63,Y7,$G$2:$G$63)</f>
        <v>-353</v>
      </c>
      <c r="AB7" s="26">
        <f t="shared" si="0"/>
        <v>-53</v>
      </c>
      <c r="AD7" s="343" t="s">
        <v>111</v>
      </c>
      <c r="AE7" s="23">
        <f>Q45</f>
        <v>3000</v>
      </c>
      <c r="AF7" s="344"/>
    </row>
    <row r="8" spans="1:33" s="342" customFormat="1">
      <c r="A8" s="284">
        <v>46023</v>
      </c>
      <c r="B8" s="289" t="s">
        <v>22</v>
      </c>
      <c r="C8" s="186" t="s">
        <v>22</v>
      </c>
      <c r="D8" s="187"/>
      <c r="E8" s="188">
        <v>3804</v>
      </c>
      <c r="F8" s="187"/>
      <c r="G8" s="193"/>
      <c r="H8" s="188"/>
      <c r="I8" s="188"/>
      <c r="J8" s="188"/>
      <c r="K8" s="188"/>
      <c r="L8" s="188"/>
      <c r="M8" s="188"/>
      <c r="N8" s="188"/>
      <c r="O8" s="188"/>
      <c r="P8" s="187"/>
      <c r="Q8" s="188"/>
      <c r="R8" s="188"/>
      <c r="S8" s="188"/>
      <c r="T8" s="188"/>
      <c r="U8" s="188"/>
      <c r="V8" s="188"/>
      <c r="W8" s="323"/>
      <c r="Y8" s="343" t="s">
        <v>12</v>
      </c>
      <c r="Z8" s="23">
        <f>Summary!K25</f>
        <v>700</v>
      </c>
      <c r="AA8" s="23">
        <f>SUMIF($C$2:$C$63,Y8,$F$2:$F$63)+SUMIF($C$2:$C$63,Y8,$G$2:$G$63)+E33+E47</f>
        <v>-492</v>
      </c>
      <c r="AB8" s="26">
        <f t="shared" si="0"/>
        <v>208</v>
      </c>
      <c r="AD8" s="343" t="s">
        <v>53</v>
      </c>
      <c r="AE8" s="22">
        <f>S22</f>
        <v>200</v>
      </c>
      <c r="AF8" s="344"/>
    </row>
    <row r="9" spans="1:33">
      <c r="A9" s="284">
        <v>46023</v>
      </c>
      <c r="B9" s="289" t="s">
        <v>170</v>
      </c>
      <c r="C9" s="299" t="s">
        <v>170</v>
      </c>
      <c r="D9" s="188"/>
      <c r="E9" s="188">
        <v>4874</v>
      </c>
      <c r="F9" s="326"/>
      <c r="G9" s="327"/>
      <c r="H9" s="188"/>
      <c r="I9" s="188"/>
      <c r="J9" s="188"/>
      <c r="K9" s="188"/>
      <c r="L9" s="188"/>
      <c r="M9" s="188"/>
      <c r="N9" s="188"/>
      <c r="O9" s="188"/>
      <c r="P9" s="326"/>
      <c r="Q9" s="188"/>
      <c r="R9" s="188"/>
      <c r="S9" s="188"/>
      <c r="T9" s="188"/>
      <c r="U9" s="188"/>
      <c r="V9" s="564"/>
      <c r="W9" s="323"/>
      <c r="Y9" s="18" t="s">
        <v>13</v>
      </c>
      <c r="Z9" s="23">
        <f>Summary!K26</f>
        <v>1300</v>
      </c>
      <c r="AA9" s="23">
        <f t="shared" ref="AA8:AA10" si="1">SUMIF($C$2:$C$63,Y9,$F$2:$F$63)+SUMIF($C$2:$C$63,Y9,$G$2:$G$63)</f>
        <v>-1652</v>
      </c>
      <c r="AB9" s="26">
        <f t="shared" si="0"/>
        <v>-352</v>
      </c>
      <c r="AD9" s="18" t="s">
        <v>131</v>
      </c>
      <c r="AE9" s="22">
        <f>R34</f>
        <v>300</v>
      </c>
      <c r="AF9" s="20"/>
    </row>
    <row r="10" spans="1:33">
      <c r="A10" s="284">
        <v>46023</v>
      </c>
      <c r="B10" s="289" t="s">
        <v>212</v>
      </c>
      <c r="C10" s="299" t="s">
        <v>8</v>
      </c>
      <c r="D10" s="188"/>
      <c r="E10" s="188"/>
      <c r="F10" s="326"/>
      <c r="G10" s="327">
        <v>-20</v>
      </c>
      <c r="H10" s="188"/>
      <c r="I10" s="188"/>
      <c r="J10" s="188"/>
      <c r="K10" s="188"/>
      <c r="L10" s="188"/>
      <c r="M10" s="188"/>
      <c r="N10" s="188"/>
      <c r="O10" s="188"/>
      <c r="P10" s="326"/>
      <c r="Q10" s="188"/>
      <c r="R10" s="188"/>
      <c r="S10" s="188"/>
      <c r="T10" s="188"/>
      <c r="U10" s="188"/>
      <c r="V10" s="188"/>
      <c r="W10" s="323"/>
      <c r="Y10" s="18" t="s">
        <v>14</v>
      </c>
      <c r="Z10" s="23">
        <f>Summary!K27</f>
        <v>150</v>
      </c>
      <c r="AA10" s="23">
        <f>SUMIF($C$2:$C$63,Y10,$F$2:$F$63)+SUMIF($C$2:$C$63,Y10,$G$2:$G$63)+E42</f>
        <v>-733</v>
      </c>
      <c r="AB10" s="26">
        <f t="shared" si="0"/>
        <v>-583</v>
      </c>
      <c r="AD10" s="18" t="s">
        <v>124</v>
      </c>
      <c r="AE10" s="22"/>
      <c r="AF10" s="20"/>
    </row>
    <row r="11" spans="1:33">
      <c r="A11" s="284">
        <v>46023</v>
      </c>
      <c r="B11" s="289" t="s">
        <v>17</v>
      </c>
      <c r="C11" s="299" t="s">
        <v>17</v>
      </c>
      <c r="D11" s="188"/>
      <c r="E11" s="188"/>
      <c r="F11" s="326">
        <f>-62-89-250</f>
        <v>-401</v>
      </c>
      <c r="G11" s="327">
        <v>-150</v>
      </c>
      <c r="H11" s="188"/>
      <c r="I11" s="188"/>
      <c r="J11" s="188"/>
      <c r="K11" s="188"/>
      <c r="L11" s="188"/>
      <c r="M11" s="188"/>
      <c r="N11" s="188"/>
      <c r="O11" s="188"/>
      <c r="P11" s="326"/>
      <c r="Q11" s="188"/>
      <c r="R11" s="188"/>
      <c r="S11" s="188"/>
      <c r="T11" s="188"/>
      <c r="U11" s="188"/>
      <c r="V11" s="188"/>
      <c r="W11" s="323"/>
      <c r="Y11" s="18" t="s">
        <v>15</v>
      </c>
      <c r="Z11" s="23">
        <f>Summary!K28</f>
        <v>200</v>
      </c>
      <c r="AA11" s="23">
        <f>SUMIF($C$2:$C$63,Y11,$F$2:$F$63)+SUMIF($C$2:$C$63,Y11,$G$2:$G$63)</f>
        <v>-160</v>
      </c>
      <c r="AB11" s="26">
        <f>Z11+AA11</f>
        <v>40</v>
      </c>
      <c r="AD11" s="21" t="s">
        <v>29</v>
      </c>
      <c r="AE11" s="637">
        <f>SUM(AE6:AE10)</f>
        <v>3500</v>
      </c>
      <c r="AF11" s="20"/>
    </row>
    <row r="12" spans="1:33">
      <c r="A12" s="284">
        <v>46023</v>
      </c>
      <c r="B12" s="289" t="s">
        <v>144</v>
      </c>
      <c r="C12" s="299" t="s">
        <v>21</v>
      </c>
      <c r="D12" s="188"/>
      <c r="E12" s="188"/>
      <c r="F12" s="326">
        <v>-50</v>
      </c>
      <c r="G12" s="327"/>
      <c r="H12" s="188"/>
      <c r="I12" s="188"/>
      <c r="J12" s="188"/>
      <c r="K12" s="188"/>
      <c r="L12" s="188"/>
      <c r="M12" s="188"/>
      <c r="N12" s="188"/>
      <c r="O12" s="188"/>
      <c r="P12" s="326"/>
      <c r="Q12" s="188"/>
      <c r="R12" s="188"/>
      <c r="S12" s="188"/>
      <c r="T12" s="188"/>
      <c r="U12" s="188"/>
      <c r="V12" s="188"/>
      <c r="W12" s="323"/>
      <c r="Y12" s="18" t="s">
        <v>16</v>
      </c>
      <c r="Z12" s="23">
        <f>Summary!K29</f>
        <v>200</v>
      </c>
      <c r="AA12" s="23">
        <f>SUMIF($C$2:$C$63,Y12,$F$2:$F$63)+SUMIF($C$2:$C$63,Y12,$G$2:$G$63)+E22</f>
        <v>-275</v>
      </c>
      <c r="AB12" s="26">
        <f>Z12+AA12</f>
        <v>-75</v>
      </c>
      <c r="AD12" s="18"/>
      <c r="AE12" s="24"/>
      <c r="AF12" s="20"/>
    </row>
    <row r="13" spans="1:33">
      <c r="A13" s="284">
        <v>46023</v>
      </c>
      <c r="B13" s="289" t="s">
        <v>158</v>
      </c>
      <c r="C13" s="299" t="s">
        <v>21</v>
      </c>
      <c r="D13" s="188"/>
      <c r="E13" s="188"/>
      <c r="F13" s="326">
        <v>-306</v>
      </c>
      <c r="G13" s="327"/>
      <c r="H13" s="188"/>
      <c r="I13" s="188"/>
      <c r="J13" s="188"/>
      <c r="K13" s="188"/>
      <c r="L13" s="188"/>
      <c r="M13" s="188"/>
      <c r="N13" s="188"/>
      <c r="O13" s="188"/>
      <c r="P13" s="326"/>
      <c r="Q13" s="188"/>
      <c r="R13" s="188"/>
      <c r="S13" s="188"/>
      <c r="T13" s="188"/>
      <c r="U13" s="188"/>
      <c r="V13" s="188"/>
      <c r="W13" s="323"/>
      <c r="Y13" s="18" t="s">
        <v>17</v>
      </c>
      <c r="Z13" s="23">
        <f>Summary!K30</f>
        <v>1000</v>
      </c>
      <c r="AA13" s="23">
        <f>SUMIF($C$2:$C$63,Y13,$F$2:$F$63)+SUMIF($C$2:$C$63,Y13,$G$2:$G$63)</f>
        <v>-1314</v>
      </c>
      <c r="AB13" s="26">
        <f t="shared" si="0"/>
        <v>-314</v>
      </c>
      <c r="AD13" s="18"/>
      <c r="AE13" s="24"/>
      <c r="AF13" s="20"/>
    </row>
    <row r="14" spans="1:33">
      <c r="A14" s="284">
        <v>46023</v>
      </c>
      <c r="B14" s="289" t="s">
        <v>160</v>
      </c>
      <c r="C14" s="299" t="s">
        <v>21</v>
      </c>
      <c r="D14" s="188"/>
      <c r="E14" s="188"/>
      <c r="F14" s="326">
        <v>-50</v>
      </c>
      <c r="G14" s="327"/>
      <c r="H14" s="188"/>
      <c r="I14" s="188"/>
      <c r="J14" s="188"/>
      <c r="K14" s="188"/>
      <c r="L14" s="188"/>
      <c r="M14" s="188"/>
      <c r="N14" s="188"/>
      <c r="O14" s="188"/>
      <c r="P14" s="326"/>
      <c r="Q14" s="188"/>
      <c r="R14" s="188"/>
      <c r="S14" s="188"/>
      <c r="T14" s="188"/>
      <c r="U14" s="188"/>
      <c r="V14" s="188"/>
      <c r="W14" s="323"/>
      <c r="Y14" s="18" t="s">
        <v>18</v>
      </c>
      <c r="Z14" s="23">
        <f>Summary!K31</f>
        <v>100</v>
      </c>
      <c r="AA14" s="23">
        <f>SUMIF($C$2:$C$63,Y14,$F$2:$F$63)+SUMIF($C$2:$C$63,Y14,$G$2:$G$63)</f>
        <v>0</v>
      </c>
      <c r="AB14" s="26">
        <f t="shared" si="0"/>
        <v>100</v>
      </c>
      <c r="AD14" s="21" t="s">
        <v>132</v>
      </c>
      <c r="AE14" s="19"/>
      <c r="AF14" s="20"/>
    </row>
    <row r="15" spans="1:33">
      <c r="A15" s="284">
        <v>46023</v>
      </c>
      <c r="B15" s="289" t="s">
        <v>26</v>
      </c>
      <c r="C15" s="299" t="s">
        <v>26</v>
      </c>
      <c r="D15" s="188"/>
      <c r="E15" s="188"/>
      <c r="F15" s="326">
        <v>-144</v>
      </c>
      <c r="G15" s="327"/>
      <c r="H15" s="188"/>
      <c r="I15" s="188"/>
      <c r="J15" s="188"/>
      <c r="K15" s="188"/>
      <c r="L15" s="188"/>
      <c r="M15" s="188"/>
      <c r="N15" s="188"/>
      <c r="O15" s="188"/>
      <c r="P15" s="326"/>
      <c r="Q15" s="188"/>
      <c r="R15" s="188"/>
      <c r="S15" s="188"/>
      <c r="T15" s="188"/>
      <c r="U15" s="188"/>
      <c r="V15" s="188"/>
      <c r="W15" s="323"/>
      <c r="Y15" s="18" t="s">
        <v>19</v>
      </c>
      <c r="Z15" s="23">
        <f>Summary!K32</f>
        <v>0</v>
      </c>
      <c r="AA15" s="23">
        <f>SUMIF($C$2:$C$63,Y15,$F$2:$F$63)+SUMIF($C$2:$C$63,Y15,$G$2:$G$63)</f>
        <v>0</v>
      </c>
      <c r="AB15" s="26">
        <f t="shared" si="0"/>
        <v>0</v>
      </c>
      <c r="AD15" s="18" t="s">
        <v>49</v>
      </c>
      <c r="AE15" s="23">
        <f>P64</f>
        <v>3945</v>
      </c>
      <c r="AF15" s="20"/>
    </row>
    <row r="16" spans="1:33">
      <c r="A16" s="284">
        <v>46027</v>
      </c>
      <c r="B16" s="289" t="s">
        <v>13</v>
      </c>
      <c r="C16" s="299" t="s">
        <v>13</v>
      </c>
      <c r="D16" s="188"/>
      <c r="E16" s="188"/>
      <c r="F16" s="326">
        <f>-80-39-29-16-22-4-33</f>
        <v>-223</v>
      </c>
      <c r="G16" s="327">
        <f>-30-30-41</f>
        <v>-101</v>
      </c>
      <c r="H16" s="188"/>
      <c r="I16" s="188"/>
      <c r="J16" s="188"/>
      <c r="K16" s="188"/>
      <c r="L16" s="188"/>
      <c r="M16" s="188"/>
      <c r="N16" s="188"/>
      <c r="O16" s="188"/>
      <c r="P16" s="326"/>
      <c r="Q16" s="188"/>
      <c r="R16" s="188"/>
      <c r="S16" s="188"/>
      <c r="T16" s="188"/>
      <c r="U16" s="188"/>
      <c r="V16" s="188"/>
      <c r="W16" s="323"/>
      <c r="Y16" s="18" t="s">
        <v>20</v>
      </c>
      <c r="Z16" s="23">
        <f>Summary!K33</f>
        <v>2000</v>
      </c>
      <c r="AA16" s="23">
        <f>SUMIF($C$2:$C$63,Y16,$F$2:$F$63)+SUMIF($C$2:$C$63,Y16,$G$2:$G$63)+E23</f>
        <v>-287</v>
      </c>
      <c r="AB16" s="26">
        <f t="shared" si="0"/>
        <v>1713</v>
      </c>
      <c r="AD16" s="18" t="s">
        <v>50</v>
      </c>
      <c r="AE16" s="23"/>
      <c r="AF16" s="20"/>
    </row>
    <row r="17" spans="1:32">
      <c r="A17" s="284">
        <v>46027</v>
      </c>
      <c r="B17" s="289" t="s">
        <v>146</v>
      </c>
      <c r="C17" s="299" t="s">
        <v>21</v>
      </c>
      <c r="D17" s="188"/>
      <c r="E17" s="188">
        <v>-50</v>
      </c>
      <c r="F17" s="326"/>
      <c r="G17" s="327"/>
      <c r="H17" s="188"/>
      <c r="I17" s="188"/>
      <c r="J17" s="188"/>
      <c r="K17" s="188"/>
      <c r="L17" s="188"/>
      <c r="M17" s="188"/>
      <c r="N17" s="188"/>
      <c r="O17" s="188"/>
      <c r="P17" s="326"/>
      <c r="Q17" s="188"/>
      <c r="R17" s="188"/>
      <c r="S17" s="188"/>
      <c r="T17" s="188"/>
      <c r="U17" s="188"/>
      <c r="V17" s="188"/>
      <c r="W17" s="323"/>
      <c r="Y17" s="18" t="s">
        <v>21</v>
      </c>
      <c r="Z17" s="23">
        <f>Summary!K34</f>
        <v>800</v>
      </c>
      <c r="AA17" s="23">
        <f>SUMIF($C$2:$C$63,Y17,$F$2:$F$63)+SUMIF($C$2:$C$63,Y17,$G$2:$G$63)+E17</f>
        <v>-1264</v>
      </c>
      <c r="AB17" s="26">
        <f t="shared" si="0"/>
        <v>-464</v>
      </c>
      <c r="AD17" s="18" t="s">
        <v>53</v>
      </c>
      <c r="AE17" s="23">
        <f>S64</f>
        <v>106</v>
      </c>
      <c r="AF17" s="20"/>
    </row>
    <row r="18" spans="1:32">
      <c r="A18" s="284">
        <v>46027</v>
      </c>
      <c r="B18" s="289" t="s">
        <v>28</v>
      </c>
      <c r="C18" s="186" t="s">
        <v>28</v>
      </c>
      <c r="D18" s="187"/>
      <c r="E18" s="188">
        <v>-880</v>
      </c>
      <c r="F18" s="326"/>
      <c r="G18" s="327"/>
      <c r="H18" s="188"/>
      <c r="I18" s="188"/>
      <c r="J18" s="188"/>
      <c r="K18" s="188"/>
      <c r="L18" s="188"/>
      <c r="M18" s="188"/>
      <c r="N18" s="188"/>
      <c r="O18" s="188"/>
      <c r="P18" s="326"/>
      <c r="Q18" s="188"/>
      <c r="R18" s="188"/>
      <c r="S18" s="188"/>
      <c r="T18" s="188"/>
      <c r="U18" s="188"/>
      <c r="V18" s="188"/>
      <c r="W18" s="323"/>
      <c r="Y18" s="18" t="s">
        <v>22</v>
      </c>
      <c r="Z18" s="23">
        <f>Summary!K35</f>
        <v>4100</v>
      </c>
      <c r="AA18" s="23">
        <f>SUMIF($C$2:$C$63,Y18,$F$2:$F$63)+SUMIF($C$2:$C$63,Y18,$G$2:$G$63)+E4+E7+E8</f>
        <v>-4134</v>
      </c>
      <c r="AB18" s="26">
        <f t="shared" si="0"/>
        <v>-34</v>
      </c>
      <c r="AD18" s="18" t="s">
        <v>131</v>
      </c>
      <c r="AE18" s="23">
        <f>R64</f>
        <v>1616</v>
      </c>
      <c r="AF18" s="20"/>
    </row>
    <row r="19" spans="1:32">
      <c r="A19" s="284">
        <v>46028</v>
      </c>
      <c r="B19" s="288" t="s">
        <v>17</v>
      </c>
      <c r="C19" s="299" t="s">
        <v>17</v>
      </c>
      <c r="D19" s="188"/>
      <c r="E19" s="188"/>
      <c r="F19" s="326">
        <f>-63-12-22-35-150</f>
        <v>-282</v>
      </c>
      <c r="G19" s="327">
        <f>-120-30-60</f>
        <v>-210</v>
      </c>
      <c r="H19" s="188"/>
      <c r="I19" s="188"/>
      <c r="J19" s="188"/>
      <c r="K19" s="188"/>
      <c r="L19" s="188"/>
      <c r="M19" s="188"/>
      <c r="N19" s="188"/>
      <c r="O19" s="188"/>
      <c r="P19" s="326"/>
      <c r="Q19" s="188"/>
      <c r="R19" s="188"/>
      <c r="S19" s="188"/>
      <c r="T19" s="188"/>
      <c r="U19" s="188"/>
      <c r="V19" s="188"/>
      <c r="W19" s="323"/>
      <c r="Y19" s="18" t="s">
        <v>23</v>
      </c>
      <c r="Z19" s="23">
        <f>Summary!K36</f>
        <v>150</v>
      </c>
      <c r="AA19" s="23">
        <f>SUMIF($C$2:$C$63,Y19,$F$2:$F$63)+SUMIF($C$2:$C$63,Y19,$G$2:$G$63)+E44</f>
        <v>0</v>
      </c>
      <c r="AB19" s="26">
        <f t="shared" si="0"/>
        <v>150</v>
      </c>
      <c r="AD19" s="18" t="s">
        <v>124</v>
      </c>
      <c r="AE19" s="23">
        <f>V64</f>
        <v>15497</v>
      </c>
      <c r="AF19" s="20"/>
    </row>
    <row r="20" spans="1:32">
      <c r="A20" s="284">
        <v>46029</v>
      </c>
      <c r="B20" s="289" t="s">
        <v>147</v>
      </c>
      <c r="C20" s="299" t="s">
        <v>213</v>
      </c>
      <c r="D20" s="188"/>
      <c r="E20" s="188"/>
      <c r="F20" s="326">
        <v>-43</v>
      </c>
      <c r="G20" s="327"/>
      <c r="H20" s="188"/>
      <c r="I20" s="188"/>
      <c r="J20" s="188"/>
      <c r="K20" s="188"/>
      <c r="L20" s="188"/>
      <c r="M20" s="188"/>
      <c r="N20" s="188"/>
      <c r="O20" s="188"/>
      <c r="P20" s="326"/>
      <c r="Q20" s="188"/>
      <c r="R20" s="188"/>
      <c r="S20" s="188"/>
      <c r="T20" s="188"/>
      <c r="U20" s="188"/>
      <c r="V20" s="188"/>
      <c r="W20" s="323"/>
      <c r="Y20" s="18" t="s">
        <v>24</v>
      </c>
      <c r="Z20" s="23">
        <f>Summary!K37</f>
        <v>200</v>
      </c>
      <c r="AA20" s="23">
        <f>SUMIF($C$2:$C$63,Y20,$F$2:$F$63)+SUMIF($C$2:$C$63,Y20,$G$2:$G$63)+E6</f>
        <v>-200</v>
      </c>
      <c r="AB20" s="26">
        <f t="shared" si="0"/>
        <v>0</v>
      </c>
      <c r="AD20" s="18" t="s">
        <v>133</v>
      </c>
      <c r="AE20" s="104">
        <f>W64</f>
        <v>182.6</v>
      </c>
      <c r="AF20" s="20"/>
    </row>
    <row r="21" spans="1:32">
      <c r="A21" s="284">
        <v>46029</v>
      </c>
      <c r="B21" s="289" t="s">
        <v>214</v>
      </c>
      <c r="C21" s="299" t="s">
        <v>13</v>
      </c>
      <c r="D21" s="188"/>
      <c r="E21" s="188">
        <v>10</v>
      </c>
      <c r="F21" s="326">
        <f>-25-20-58-44-75-14-64-92-70-38-45</f>
        <v>-545</v>
      </c>
      <c r="G21" s="327">
        <f>-15-190-80+50-70-100-15-11</f>
        <v>-431</v>
      </c>
      <c r="H21" s="188"/>
      <c r="I21" s="188"/>
      <c r="J21" s="188"/>
      <c r="K21" s="188"/>
      <c r="L21" s="188"/>
      <c r="M21" s="188"/>
      <c r="N21" s="188"/>
      <c r="O21" s="188"/>
      <c r="P21" s="326"/>
      <c r="Q21" s="188"/>
      <c r="R21" s="188"/>
      <c r="S21" s="188"/>
      <c r="T21" s="188"/>
      <c r="U21" s="188"/>
      <c r="V21" s="188"/>
      <c r="W21" s="323"/>
      <c r="Y21" s="18" t="s">
        <v>25</v>
      </c>
      <c r="Z21" s="23">
        <f>Summary!K38</f>
        <v>200</v>
      </c>
      <c r="AA21" s="23">
        <f>SUMIF($C$2:$C$63,Y21,$F$2:$F$63)+SUMIF($C$2:$C$63,Y21,$G$2:$G$63)</f>
        <v>0</v>
      </c>
      <c r="AB21" s="26">
        <f t="shared" si="0"/>
        <v>200</v>
      </c>
      <c r="AD21" s="21" t="s">
        <v>29</v>
      </c>
      <c r="AE21" s="637">
        <f>SUM(AE15:AE20)</f>
        <v>21346.6</v>
      </c>
      <c r="AF21" s="20"/>
    </row>
    <row r="22" spans="1:32">
      <c r="A22" s="284">
        <v>46029</v>
      </c>
      <c r="B22" s="289" t="s">
        <v>215</v>
      </c>
      <c r="C22" s="299" t="s">
        <v>16</v>
      </c>
      <c r="D22" s="188"/>
      <c r="E22" s="188">
        <v>-200</v>
      </c>
      <c r="F22" s="326">
        <v>-75</v>
      </c>
      <c r="G22" s="327"/>
      <c r="H22" s="188"/>
      <c r="I22" s="188"/>
      <c r="J22" s="188"/>
      <c r="K22" s="188"/>
      <c r="L22" s="188"/>
      <c r="M22" s="188"/>
      <c r="N22" s="188"/>
      <c r="O22" s="188"/>
      <c r="P22" s="326"/>
      <c r="Q22" s="188"/>
      <c r="R22" s="188"/>
      <c r="S22" s="188">
        <v>200</v>
      </c>
      <c r="T22" s="188"/>
      <c r="U22" s="188"/>
      <c r="V22" s="188"/>
      <c r="W22" s="323"/>
      <c r="Y22" s="18" t="s">
        <v>26</v>
      </c>
      <c r="Z22" s="23">
        <f>Summary!K39</f>
        <v>200</v>
      </c>
      <c r="AA22" s="23">
        <f>SUMIF($C$2:$C$63,Y22,$F$2:$F$63)+SUMIF($C$2:$C$63,Y22,$G$2:$G$63)</f>
        <v>-425</v>
      </c>
      <c r="AB22" s="26">
        <f>Z22+AA22</f>
        <v>-225</v>
      </c>
      <c r="AD22" s="124"/>
      <c r="AE22"/>
      <c r="AF22" s="125"/>
    </row>
    <row r="23" spans="1:32">
      <c r="A23" s="284">
        <v>46031</v>
      </c>
      <c r="B23" s="289" t="s">
        <v>20</v>
      </c>
      <c r="C23" s="299" t="s">
        <v>20</v>
      </c>
      <c r="D23" s="188"/>
      <c r="E23" s="188">
        <v>250</v>
      </c>
      <c r="F23" s="326">
        <f>-65-75-37-30-125</f>
        <v>-332</v>
      </c>
      <c r="G23" s="327">
        <v>-60</v>
      </c>
      <c r="H23" s="188"/>
      <c r="I23" s="188"/>
      <c r="J23" s="188"/>
      <c r="K23" s="188"/>
      <c r="L23" s="188"/>
      <c r="M23" s="188"/>
      <c r="N23" s="188"/>
      <c r="O23" s="188"/>
      <c r="P23" s="326"/>
      <c r="Q23" s="188"/>
      <c r="R23" s="188"/>
      <c r="S23" s="188"/>
      <c r="T23" s="188"/>
      <c r="U23" s="188"/>
      <c r="V23" s="188"/>
      <c r="W23" s="560"/>
      <c r="Y23" s="18" t="s">
        <v>27</v>
      </c>
      <c r="Z23" s="23">
        <f>Summary!K40</f>
        <v>120</v>
      </c>
      <c r="AA23" s="23">
        <f>SUMIF($C$2:$C$63,Y23,$F$2:$F$63)+SUMIF($C$2:$C$63,Y23,$G$2:$G$63)</f>
        <v>-570</v>
      </c>
      <c r="AB23" s="26">
        <f>Z23+AA23</f>
        <v>-450</v>
      </c>
      <c r="AD23" s="124"/>
      <c r="AE23"/>
      <c r="AF23" s="125"/>
    </row>
    <row r="24" spans="1:32">
      <c r="A24" s="284">
        <v>46032</v>
      </c>
      <c r="B24" s="289" t="s">
        <v>14</v>
      </c>
      <c r="C24" s="299" t="s">
        <v>14</v>
      </c>
      <c r="D24" s="188"/>
      <c r="E24" s="188"/>
      <c r="F24" s="326">
        <f>-20-85-30</f>
        <v>-135</v>
      </c>
      <c r="G24" s="327"/>
      <c r="H24" s="188"/>
      <c r="I24" s="188"/>
      <c r="J24" s="188"/>
      <c r="K24" s="188"/>
      <c r="L24" s="188"/>
      <c r="M24" s="188"/>
      <c r="N24" s="188"/>
      <c r="O24" s="188"/>
      <c r="P24" s="326"/>
      <c r="Q24" s="188"/>
      <c r="R24" s="188"/>
      <c r="S24" s="188"/>
      <c r="T24" s="188"/>
      <c r="U24" s="188"/>
      <c r="V24" s="188"/>
      <c r="W24" s="560"/>
      <c r="Y24" s="18" t="s">
        <v>28</v>
      </c>
      <c r="Z24" s="23">
        <f>Summary!K41</f>
        <v>900</v>
      </c>
      <c r="AA24" s="23">
        <f>SUMIF($C$2:$C$63,Y24,$F$2:$F$63)+SUMIF($C$2:$C$63,Y24,$G$2:$G$63)+E18</f>
        <v>-880</v>
      </c>
      <c r="AB24" s="26">
        <f>Z24+AA24</f>
        <v>20</v>
      </c>
      <c r="AD24" s="124"/>
      <c r="AE24"/>
      <c r="AF24" s="125"/>
    </row>
    <row r="25" spans="1:32">
      <c r="A25" s="284">
        <v>46034</v>
      </c>
      <c r="B25" s="289" t="s">
        <v>15</v>
      </c>
      <c r="C25" s="299" t="s">
        <v>15</v>
      </c>
      <c r="D25" s="188"/>
      <c r="E25" s="188"/>
      <c r="F25" s="326">
        <v>-80</v>
      </c>
      <c r="G25" s="327"/>
      <c r="H25" s="188"/>
      <c r="I25" s="188"/>
      <c r="J25" s="188"/>
      <c r="K25" s="188"/>
      <c r="L25" s="188"/>
      <c r="M25" s="188"/>
      <c r="N25" s="188"/>
      <c r="O25" s="188"/>
      <c r="P25" s="326"/>
      <c r="Q25" s="188"/>
      <c r="R25" s="188"/>
      <c r="S25" s="188"/>
      <c r="T25" s="188"/>
      <c r="U25" s="188"/>
      <c r="V25" s="188"/>
      <c r="W25" s="560"/>
      <c r="Y25" s="18"/>
      <c r="Z25" s="23"/>
      <c r="AA25" s="23"/>
      <c r="AB25" s="26"/>
      <c r="AD25" s="124"/>
      <c r="AE25"/>
      <c r="AF25" s="125"/>
    </row>
    <row r="26" spans="1:32">
      <c r="A26" s="284">
        <v>46034</v>
      </c>
      <c r="B26" s="289" t="s">
        <v>165</v>
      </c>
      <c r="C26" s="299" t="s">
        <v>21</v>
      </c>
      <c r="D26" s="188"/>
      <c r="E26" s="188"/>
      <c r="F26" s="326">
        <v>-50</v>
      </c>
      <c r="G26" s="327"/>
      <c r="H26" s="188"/>
      <c r="I26" s="188"/>
      <c r="J26" s="188"/>
      <c r="K26" s="188"/>
      <c r="L26" s="188"/>
      <c r="M26" s="188"/>
      <c r="N26" s="188"/>
      <c r="O26" s="188"/>
      <c r="P26" s="326"/>
      <c r="Q26" s="188"/>
      <c r="R26" s="188"/>
      <c r="S26" s="188"/>
      <c r="T26" s="188"/>
      <c r="U26" s="188"/>
      <c r="V26" s="188"/>
      <c r="W26" s="560"/>
      <c r="Y26" s="18"/>
      <c r="Z26" s="23"/>
      <c r="AA26" s="23"/>
      <c r="AB26" s="26"/>
      <c r="AD26" s="124"/>
      <c r="AE26"/>
      <c r="AF26" s="125"/>
    </row>
    <row r="27" spans="1:32">
      <c r="A27" s="284">
        <v>46034</v>
      </c>
      <c r="B27" s="289" t="s">
        <v>164</v>
      </c>
      <c r="C27" s="299" t="s">
        <v>21</v>
      </c>
      <c r="D27" s="188"/>
      <c r="E27" s="188"/>
      <c r="F27" s="326">
        <v>-93</v>
      </c>
      <c r="G27" s="327"/>
      <c r="H27" s="188"/>
      <c r="I27" s="188"/>
      <c r="J27" s="188"/>
      <c r="K27" s="188"/>
      <c r="L27" s="188"/>
      <c r="M27" s="188"/>
      <c r="N27" s="188"/>
      <c r="O27" s="188"/>
      <c r="P27" s="326"/>
      <c r="Q27" s="188"/>
      <c r="R27" s="188"/>
      <c r="S27" s="188"/>
      <c r="T27" s="188"/>
      <c r="U27" s="188"/>
      <c r="V27" s="188"/>
      <c r="W27" s="560"/>
      <c r="Y27" s="18"/>
      <c r="Z27" s="23"/>
      <c r="AA27" s="23"/>
      <c r="AB27" s="26"/>
      <c r="AD27" s="124"/>
      <c r="AE27"/>
      <c r="AF27" s="125"/>
    </row>
    <row r="28" spans="1:32">
      <c r="A28" s="284">
        <v>46034</v>
      </c>
      <c r="B28" s="289" t="s">
        <v>194</v>
      </c>
      <c r="C28" s="299" t="s">
        <v>8</v>
      </c>
      <c r="D28" s="188"/>
      <c r="E28" s="188"/>
      <c r="F28" s="326">
        <v>-14</v>
      </c>
      <c r="G28" s="327"/>
      <c r="H28" s="188"/>
      <c r="I28" s="188"/>
      <c r="J28" s="188"/>
      <c r="K28" s="188"/>
      <c r="L28" s="188"/>
      <c r="M28" s="188"/>
      <c r="N28" s="188"/>
      <c r="O28" s="188"/>
      <c r="P28" s="326"/>
      <c r="Q28" s="188"/>
      <c r="R28" s="188"/>
      <c r="S28" s="188"/>
      <c r="T28" s="188"/>
      <c r="U28" s="188"/>
      <c r="V28" s="188"/>
      <c r="W28" s="560"/>
      <c r="Y28" s="18"/>
      <c r="Z28" s="23"/>
      <c r="AA28" s="23"/>
      <c r="AB28" s="26"/>
      <c r="AD28" s="124"/>
      <c r="AE28"/>
      <c r="AF28" s="125"/>
    </row>
    <row r="29" spans="1:32">
      <c r="A29" s="284">
        <v>46035</v>
      </c>
      <c r="B29" s="289" t="s">
        <v>171</v>
      </c>
      <c r="C29" s="299" t="s">
        <v>8</v>
      </c>
      <c r="D29" s="188"/>
      <c r="E29" s="188"/>
      <c r="F29" s="326">
        <v>-30</v>
      </c>
      <c r="G29" s="327"/>
      <c r="H29" s="188"/>
      <c r="I29" s="188"/>
      <c r="J29" s="188"/>
      <c r="K29" s="188"/>
      <c r="L29" s="188"/>
      <c r="M29" s="188"/>
      <c r="N29" s="188"/>
      <c r="O29" s="188"/>
      <c r="P29" s="326"/>
      <c r="Q29" s="188"/>
      <c r="R29" s="188"/>
      <c r="S29" s="188"/>
      <c r="T29" s="188"/>
      <c r="U29" s="188"/>
      <c r="V29" s="188"/>
      <c r="W29" s="560"/>
      <c r="Y29" s="18"/>
      <c r="Z29" s="23"/>
      <c r="AA29" s="23"/>
      <c r="AB29" s="26"/>
      <c r="AD29" s="124"/>
      <c r="AE29"/>
      <c r="AF29" s="125"/>
    </row>
    <row r="30" spans="1:32">
      <c r="A30" s="284">
        <v>46035</v>
      </c>
      <c r="B30" s="289" t="s">
        <v>216</v>
      </c>
      <c r="C30" s="299" t="s">
        <v>26</v>
      </c>
      <c r="D30" s="188"/>
      <c r="E30" s="188"/>
      <c r="F30" s="326">
        <v>-80</v>
      </c>
      <c r="G30" s="327">
        <f>-14-12</f>
        <v>-26</v>
      </c>
      <c r="H30" s="188"/>
      <c r="I30" s="188"/>
      <c r="J30" s="188"/>
      <c r="K30" s="188"/>
      <c r="L30" s="188"/>
      <c r="M30" s="188"/>
      <c r="N30" s="188"/>
      <c r="O30" s="188"/>
      <c r="P30" s="326"/>
      <c r="Q30" s="188"/>
      <c r="R30" s="188"/>
      <c r="S30" s="188"/>
      <c r="T30" s="188"/>
      <c r="U30" s="188"/>
      <c r="V30" s="188"/>
      <c r="W30" s="560"/>
      <c r="Y30" s="18"/>
      <c r="Z30" s="23"/>
      <c r="AA30" s="23"/>
      <c r="AB30" s="26"/>
      <c r="AD30" s="124"/>
      <c r="AE30"/>
      <c r="AF30" s="125"/>
    </row>
    <row r="31" spans="1:32">
      <c r="A31" s="284">
        <v>46035</v>
      </c>
      <c r="B31" s="289" t="s">
        <v>217</v>
      </c>
      <c r="C31" s="299" t="s">
        <v>8</v>
      </c>
      <c r="D31" s="188"/>
      <c r="E31" s="188"/>
      <c r="F31" s="326">
        <v>-4</v>
      </c>
      <c r="G31" s="327"/>
      <c r="H31" s="188"/>
      <c r="I31" s="188"/>
      <c r="J31" s="188"/>
      <c r="K31" s="188"/>
      <c r="L31" s="188"/>
      <c r="M31" s="188"/>
      <c r="N31" s="188"/>
      <c r="O31" s="188"/>
      <c r="P31" s="326"/>
      <c r="Q31" s="188"/>
      <c r="R31" s="188"/>
      <c r="S31" s="188"/>
      <c r="T31" s="188"/>
      <c r="U31" s="188"/>
      <c r="V31" s="188"/>
      <c r="W31" s="560"/>
      <c r="Y31" s="18"/>
      <c r="Z31" s="23"/>
      <c r="AA31" s="23"/>
      <c r="AB31" s="26"/>
      <c r="AD31" s="124"/>
      <c r="AE31"/>
      <c r="AF31" s="125"/>
    </row>
    <row r="32" spans="1:32">
      <c r="A32" s="284">
        <v>46035</v>
      </c>
      <c r="B32" s="288" t="s">
        <v>218</v>
      </c>
      <c r="C32" s="299" t="s">
        <v>26</v>
      </c>
      <c r="D32" s="188"/>
      <c r="E32" s="188"/>
      <c r="F32" s="326">
        <v>-75</v>
      </c>
      <c r="G32" s="327"/>
      <c r="H32" s="188"/>
      <c r="I32" s="188"/>
      <c r="J32" s="188"/>
      <c r="K32" s="188"/>
      <c r="L32" s="188"/>
      <c r="M32" s="188"/>
      <c r="N32" s="188"/>
      <c r="O32" s="188"/>
      <c r="P32" s="326"/>
      <c r="Q32" s="188"/>
      <c r="R32" s="188"/>
      <c r="S32" s="188"/>
      <c r="T32" s="188"/>
      <c r="U32" s="188"/>
      <c r="V32" s="188"/>
      <c r="W32" s="323"/>
      <c r="Y32" s="18"/>
      <c r="Z32" s="23"/>
      <c r="AA32" s="23"/>
      <c r="AB32" s="26"/>
      <c r="AD32" s="124"/>
      <c r="AE32"/>
      <c r="AF32" s="125"/>
    </row>
    <row r="33" spans="1:32">
      <c r="A33" s="284">
        <v>46036</v>
      </c>
      <c r="B33" s="288" t="s">
        <v>219</v>
      </c>
      <c r="C33" s="299" t="s">
        <v>12</v>
      </c>
      <c r="D33" s="188"/>
      <c r="E33" s="188">
        <f>-90-75</f>
        <v>-165</v>
      </c>
      <c r="F33" s="326">
        <v>-66</v>
      </c>
      <c r="G33" s="327"/>
      <c r="H33" s="188"/>
      <c r="I33" s="188"/>
      <c r="J33" s="188"/>
      <c r="K33" s="188"/>
      <c r="L33" s="188"/>
      <c r="M33" s="188"/>
      <c r="N33" s="188"/>
      <c r="O33" s="188"/>
      <c r="P33" s="326"/>
      <c r="Q33" s="188"/>
      <c r="R33" s="188"/>
      <c r="S33" s="188"/>
      <c r="T33" s="188"/>
      <c r="U33" s="188"/>
      <c r="V33" s="188"/>
      <c r="W33" s="323"/>
      <c r="Y33" s="18"/>
      <c r="Z33" s="23"/>
      <c r="AA33" s="23"/>
      <c r="AB33" s="26"/>
      <c r="AD33" s="124"/>
      <c r="AE33"/>
      <c r="AF33" s="125"/>
    </row>
    <row r="34" spans="1:32">
      <c r="A34" s="284">
        <v>46037</v>
      </c>
      <c r="B34" s="288" t="s">
        <v>4</v>
      </c>
      <c r="C34" s="299" t="s">
        <v>4</v>
      </c>
      <c r="D34" s="188"/>
      <c r="E34" s="188">
        <v>-300</v>
      </c>
      <c r="F34" s="326"/>
      <c r="G34" s="327"/>
      <c r="H34" s="188"/>
      <c r="I34" s="188"/>
      <c r="J34" s="188"/>
      <c r="K34" s="188"/>
      <c r="L34" s="188"/>
      <c r="M34" s="188"/>
      <c r="N34" s="188"/>
      <c r="O34" s="188"/>
      <c r="P34" s="326"/>
      <c r="Q34" s="188"/>
      <c r="R34" s="188">
        <v>300</v>
      </c>
      <c r="S34" s="188"/>
      <c r="T34" s="188"/>
      <c r="U34" s="188"/>
      <c r="V34" s="188"/>
      <c r="W34" s="323"/>
      <c r="Y34" s="18"/>
      <c r="Z34" s="23"/>
      <c r="AA34" s="23"/>
      <c r="AB34" s="26"/>
      <c r="AD34" s="124"/>
      <c r="AE34"/>
      <c r="AF34" s="125"/>
    </row>
    <row r="35" spans="1:32">
      <c r="A35" s="284">
        <v>46037</v>
      </c>
      <c r="B35" s="288" t="s">
        <v>170</v>
      </c>
      <c r="C35" s="299" t="s">
        <v>170</v>
      </c>
      <c r="D35" s="188"/>
      <c r="E35" s="188">
        <v>5000</v>
      </c>
      <c r="F35" s="326"/>
      <c r="G35" s="327"/>
      <c r="H35" s="188"/>
      <c r="I35" s="188"/>
      <c r="J35" s="188"/>
      <c r="K35" s="188"/>
      <c r="L35" s="188"/>
      <c r="M35" s="188"/>
      <c r="N35" s="188"/>
      <c r="O35" s="188"/>
      <c r="P35" s="326"/>
      <c r="Q35" s="188"/>
      <c r="R35" s="188"/>
      <c r="S35" s="188"/>
      <c r="T35" s="188"/>
      <c r="U35" s="188"/>
      <c r="V35" s="188"/>
      <c r="W35" s="323"/>
      <c r="Y35" s="18"/>
      <c r="Z35" s="23"/>
      <c r="AA35" s="23"/>
      <c r="AB35" s="26"/>
      <c r="AD35" s="124"/>
      <c r="AE35"/>
      <c r="AF35" s="125"/>
    </row>
    <row r="36" spans="1:32">
      <c r="A36" s="284">
        <v>46037</v>
      </c>
      <c r="B36" s="288" t="s">
        <v>158</v>
      </c>
      <c r="C36" s="299" t="s">
        <v>21</v>
      </c>
      <c r="D36" s="188"/>
      <c r="E36" s="188"/>
      <c r="F36" s="326">
        <v>-309</v>
      </c>
      <c r="G36" s="327"/>
      <c r="H36" s="188"/>
      <c r="I36" s="188"/>
      <c r="J36" s="188"/>
      <c r="K36" s="188"/>
      <c r="L36" s="188"/>
      <c r="M36" s="188"/>
      <c r="N36" s="188"/>
      <c r="O36" s="188"/>
      <c r="P36" s="326"/>
      <c r="Q36" s="188"/>
      <c r="R36" s="188"/>
      <c r="S36" s="188"/>
      <c r="T36" s="188"/>
      <c r="U36" s="188"/>
      <c r="V36" s="188"/>
      <c r="W36" s="323"/>
      <c r="Y36" s="18"/>
      <c r="Z36" s="23"/>
      <c r="AA36" s="23"/>
      <c r="AB36" s="26"/>
      <c r="AD36" s="124"/>
      <c r="AE36"/>
      <c r="AF36" s="125"/>
    </row>
    <row r="37" spans="1:32">
      <c r="A37" s="284">
        <v>46037</v>
      </c>
      <c r="B37" s="288" t="s">
        <v>9</v>
      </c>
      <c r="C37" s="299" t="s">
        <v>9</v>
      </c>
      <c r="D37" s="188"/>
      <c r="E37" s="188"/>
      <c r="F37" s="326">
        <v>-342</v>
      </c>
      <c r="G37" s="327"/>
      <c r="H37" s="188"/>
      <c r="I37" s="188"/>
      <c r="J37" s="188"/>
      <c r="K37" s="188"/>
      <c r="L37" s="188"/>
      <c r="M37" s="188"/>
      <c r="N37" s="188"/>
      <c r="O37" s="188"/>
      <c r="P37" s="326"/>
      <c r="Q37" s="188"/>
      <c r="R37" s="188"/>
      <c r="S37" s="188"/>
      <c r="T37" s="188"/>
      <c r="U37" s="188"/>
      <c r="V37" s="188"/>
      <c r="W37" s="323"/>
      <c r="Y37" s="18"/>
      <c r="Z37" s="23"/>
      <c r="AA37" s="23"/>
      <c r="AB37" s="26"/>
      <c r="AD37" s="124"/>
      <c r="AE37"/>
      <c r="AF37" s="125"/>
    </row>
    <row r="38" spans="1:32">
      <c r="A38" s="284">
        <v>46037</v>
      </c>
      <c r="B38" s="288" t="s">
        <v>170</v>
      </c>
      <c r="C38" s="299" t="s">
        <v>170</v>
      </c>
      <c r="D38" s="188"/>
      <c r="E38" s="188">
        <v>4794</v>
      </c>
      <c r="F38" s="326"/>
      <c r="G38" s="327"/>
      <c r="H38" s="188"/>
      <c r="I38" s="188"/>
      <c r="J38" s="188"/>
      <c r="K38" s="188"/>
      <c r="L38" s="188"/>
      <c r="M38" s="188"/>
      <c r="N38" s="188"/>
      <c r="O38" s="188"/>
      <c r="P38" s="326"/>
      <c r="Q38" s="188"/>
      <c r="R38" s="188"/>
      <c r="S38" s="188"/>
      <c r="T38" s="188"/>
      <c r="U38" s="188"/>
      <c r="V38" s="188"/>
      <c r="W38" s="323"/>
      <c r="Y38" s="18"/>
      <c r="Z38" s="23"/>
      <c r="AA38" s="23"/>
      <c r="AB38" s="26"/>
      <c r="AD38" s="124"/>
      <c r="AE38"/>
      <c r="AF38" s="125"/>
    </row>
    <row r="39" spans="1:32">
      <c r="A39" s="284">
        <v>46041</v>
      </c>
      <c r="B39" s="288" t="s">
        <v>220</v>
      </c>
      <c r="C39" s="299" t="s">
        <v>8</v>
      </c>
      <c r="D39" s="188"/>
      <c r="E39" s="188"/>
      <c r="F39" s="326">
        <v>-20</v>
      </c>
      <c r="G39" s="327"/>
      <c r="H39" s="188"/>
      <c r="I39" s="188"/>
      <c r="J39" s="188"/>
      <c r="K39" s="188"/>
      <c r="L39" s="188"/>
      <c r="M39" s="188"/>
      <c r="N39" s="188"/>
      <c r="O39" s="188"/>
      <c r="P39" s="326"/>
      <c r="Q39" s="188"/>
      <c r="R39" s="188"/>
      <c r="S39" s="188"/>
      <c r="T39" s="188"/>
      <c r="U39" s="188"/>
      <c r="V39" s="188"/>
      <c r="W39" s="323"/>
      <c r="Y39" s="18"/>
      <c r="Z39" s="23"/>
      <c r="AA39" s="23"/>
      <c r="AB39" s="26"/>
      <c r="AD39" s="124"/>
      <c r="AE39"/>
      <c r="AF39" s="125"/>
    </row>
    <row r="40" spans="1:32">
      <c r="A40" s="284">
        <v>46042</v>
      </c>
      <c r="B40" s="288" t="s">
        <v>221</v>
      </c>
      <c r="C40" s="299" t="s">
        <v>8</v>
      </c>
      <c r="D40" s="188"/>
      <c r="E40" s="188"/>
      <c r="F40" s="326">
        <f>-27-20</f>
        <v>-47</v>
      </c>
      <c r="G40" s="327"/>
      <c r="H40" s="188"/>
      <c r="I40" s="188"/>
      <c r="J40" s="188"/>
      <c r="K40" s="188"/>
      <c r="L40" s="188"/>
      <c r="M40" s="188"/>
      <c r="N40" s="188"/>
      <c r="O40" s="188"/>
      <c r="P40" s="326"/>
      <c r="Q40" s="188"/>
      <c r="R40" s="188"/>
      <c r="S40" s="188"/>
      <c r="T40" s="188"/>
      <c r="U40" s="188"/>
      <c r="V40" s="188"/>
      <c r="W40" s="323"/>
      <c r="Y40" s="18"/>
      <c r="Z40" s="23"/>
      <c r="AA40" s="23"/>
      <c r="AB40" s="26"/>
      <c r="AD40" s="124"/>
      <c r="AE40"/>
      <c r="AF40" s="125"/>
    </row>
    <row r="41" spans="1:32">
      <c r="A41" s="284">
        <v>46043</v>
      </c>
      <c r="B41" s="288" t="s">
        <v>11</v>
      </c>
      <c r="C41" s="299" t="s">
        <v>11</v>
      </c>
      <c r="D41" s="188"/>
      <c r="E41" s="188"/>
      <c r="F41" s="326">
        <f>-90-150</f>
        <v>-240</v>
      </c>
      <c r="G41" s="327">
        <v>-113</v>
      </c>
      <c r="H41" s="188"/>
      <c r="I41" s="188"/>
      <c r="J41" s="188"/>
      <c r="K41" s="188"/>
      <c r="L41" s="188"/>
      <c r="M41" s="188"/>
      <c r="N41" s="188"/>
      <c r="O41" s="188"/>
      <c r="P41" s="326"/>
      <c r="Q41" s="188"/>
      <c r="R41" s="188"/>
      <c r="S41" s="188"/>
      <c r="T41" s="188"/>
      <c r="U41" s="188"/>
      <c r="V41" s="188"/>
      <c r="W41" s="323"/>
      <c r="Y41" s="18"/>
      <c r="Z41" s="23"/>
      <c r="AA41" s="23"/>
      <c r="AB41" s="26"/>
      <c r="AD41" s="124"/>
      <c r="AE41"/>
      <c r="AF41" s="125"/>
    </row>
    <row r="42" spans="1:32">
      <c r="A42" s="284">
        <v>46043</v>
      </c>
      <c r="B42" s="288" t="s">
        <v>14</v>
      </c>
      <c r="C42" s="299" t="s">
        <v>14</v>
      </c>
      <c r="D42" s="188"/>
      <c r="E42" s="188">
        <f>-210-200</f>
        <v>-410</v>
      </c>
      <c r="F42" s="326">
        <f>-86-45-7-50</f>
        <v>-188</v>
      </c>
      <c r="G42" s="327"/>
      <c r="H42" s="188"/>
      <c r="I42" s="188"/>
      <c r="J42" s="188"/>
      <c r="K42" s="188"/>
      <c r="L42" s="188"/>
      <c r="M42" s="188"/>
      <c r="N42" s="188"/>
      <c r="O42" s="188"/>
      <c r="P42" s="326"/>
      <c r="Q42" s="188"/>
      <c r="R42" s="188"/>
      <c r="S42" s="188"/>
      <c r="T42" s="188"/>
      <c r="U42" s="188"/>
      <c r="V42" s="188"/>
      <c r="W42" s="323"/>
      <c r="Y42" s="18"/>
      <c r="Z42" s="23"/>
      <c r="AA42" s="23"/>
      <c r="AB42" s="26"/>
      <c r="AD42" s="124"/>
      <c r="AE42"/>
      <c r="AF42" s="125"/>
    </row>
    <row r="43" spans="1:32">
      <c r="A43" s="284">
        <v>46045</v>
      </c>
      <c r="B43" s="288" t="s">
        <v>26</v>
      </c>
      <c r="C43" s="299" t="s">
        <v>26</v>
      </c>
      <c r="D43" s="188"/>
      <c r="E43" s="188"/>
      <c r="F43" s="326">
        <v>-100</v>
      </c>
      <c r="G43" s="327"/>
      <c r="H43" s="188"/>
      <c r="I43" s="188"/>
      <c r="J43" s="188"/>
      <c r="K43" s="188"/>
      <c r="L43" s="188"/>
      <c r="M43" s="188"/>
      <c r="N43" s="188"/>
      <c r="O43" s="188"/>
      <c r="P43" s="326"/>
      <c r="Q43" s="188"/>
      <c r="R43" s="188"/>
      <c r="S43" s="188"/>
      <c r="T43" s="188"/>
      <c r="U43" s="188"/>
      <c r="V43" s="188"/>
      <c r="W43" s="323"/>
      <c r="Y43" s="18"/>
      <c r="Z43" s="23"/>
      <c r="AA43" s="23"/>
      <c r="AB43" s="26"/>
      <c r="AD43" s="124"/>
      <c r="AE43"/>
      <c r="AF43" s="125"/>
    </row>
    <row r="44" spans="1:32">
      <c r="A44" s="284">
        <v>46045</v>
      </c>
      <c r="B44" s="288" t="s">
        <v>179</v>
      </c>
      <c r="C44" s="299" t="s">
        <v>8</v>
      </c>
      <c r="D44" s="188"/>
      <c r="E44" s="188"/>
      <c r="F44" s="326">
        <v>-80</v>
      </c>
      <c r="G44" s="327"/>
      <c r="H44" s="188"/>
      <c r="I44" s="188"/>
      <c r="J44" s="188"/>
      <c r="K44" s="188"/>
      <c r="L44" s="188"/>
      <c r="M44" s="188"/>
      <c r="N44" s="188"/>
      <c r="O44" s="188"/>
      <c r="P44" s="326"/>
      <c r="Q44" s="188"/>
      <c r="R44" s="188"/>
      <c r="S44" s="188"/>
      <c r="T44" s="188"/>
      <c r="U44" s="188"/>
      <c r="V44" s="188"/>
      <c r="W44" s="323"/>
      <c r="Y44" s="18"/>
      <c r="Z44" s="23"/>
      <c r="AA44" s="23"/>
      <c r="AB44" s="26"/>
      <c r="AD44" s="124"/>
      <c r="AE44"/>
      <c r="AF44" s="125"/>
    </row>
    <row r="45" spans="1:32">
      <c r="A45" s="284">
        <v>46045</v>
      </c>
      <c r="B45" s="288" t="s">
        <v>4</v>
      </c>
      <c r="C45" s="299" t="s">
        <v>50</v>
      </c>
      <c r="D45" s="188"/>
      <c r="E45" s="188">
        <v>-4000</v>
      </c>
      <c r="F45" s="326"/>
      <c r="G45" s="327"/>
      <c r="H45" s="188"/>
      <c r="I45" s="188"/>
      <c r="J45" s="188"/>
      <c r="K45" s="188"/>
      <c r="L45" s="188"/>
      <c r="M45" s="188"/>
      <c r="N45" s="188"/>
      <c r="O45" s="188"/>
      <c r="P45" s="326"/>
      <c r="Q45" s="188">
        <v>3000</v>
      </c>
      <c r="R45" s="188"/>
      <c r="S45" s="188"/>
      <c r="T45" s="188"/>
      <c r="U45" s="188"/>
      <c r="V45" s="188"/>
      <c r="W45" s="323"/>
      <c r="Y45" s="18"/>
      <c r="Z45" s="23"/>
      <c r="AA45" s="23"/>
      <c r="AB45" s="26"/>
      <c r="AD45" s="124"/>
      <c r="AE45"/>
      <c r="AF45" s="125"/>
    </row>
    <row r="46" spans="1:32">
      <c r="A46" s="284">
        <v>46048</v>
      </c>
      <c r="B46" s="288" t="s">
        <v>170</v>
      </c>
      <c r="C46" s="299" t="s">
        <v>170</v>
      </c>
      <c r="D46" s="188"/>
      <c r="E46" s="188">
        <v>5000</v>
      </c>
      <c r="F46" s="326"/>
      <c r="G46" s="327"/>
      <c r="H46" s="188"/>
      <c r="I46" s="188"/>
      <c r="J46" s="188"/>
      <c r="K46" s="188"/>
      <c r="L46" s="188"/>
      <c r="M46" s="188"/>
      <c r="N46" s="188"/>
      <c r="O46" s="188"/>
      <c r="P46" s="326"/>
      <c r="Q46" s="188"/>
      <c r="R46" s="188"/>
      <c r="S46" s="188"/>
      <c r="T46" s="188"/>
      <c r="U46" s="188"/>
      <c r="V46" s="188"/>
      <c r="W46" s="323"/>
      <c r="Y46" s="18"/>
      <c r="Z46" s="23"/>
      <c r="AA46" s="23"/>
      <c r="AB46" s="26"/>
      <c r="AD46" s="124"/>
      <c r="AE46"/>
      <c r="AF46" s="125"/>
    </row>
    <row r="47" spans="1:32">
      <c r="A47" s="284">
        <v>46048</v>
      </c>
      <c r="B47" s="288" t="s">
        <v>177</v>
      </c>
      <c r="C47" s="299" t="s">
        <v>12</v>
      </c>
      <c r="D47" s="188"/>
      <c r="E47" s="188">
        <f>-206-25</f>
        <v>-231</v>
      </c>
      <c r="F47" s="326"/>
      <c r="G47" s="327">
        <v>-30</v>
      </c>
      <c r="H47" s="188"/>
      <c r="I47" s="188"/>
      <c r="J47" s="188"/>
      <c r="K47" s="188"/>
      <c r="L47" s="188"/>
      <c r="M47" s="188"/>
      <c r="N47" s="188"/>
      <c r="O47" s="188"/>
      <c r="P47" s="326"/>
      <c r="Q47" s="188"/>
      <c r="R47" s="188"/>
      <c r="S47" s="188"/>
      <c r="T47" s="188"/>
      <c r="U47" s="188"/>
      <c r="V47" s="188"/>
      <c r="W47" s="323"/>
      <c r="Y47" s="18"/>
      <c r="Z47" s="23"/>
      <c r="AA47" s="23"/>
      <c r="AB47" s="26"/>
      <c r="AD47" s="124"/>
      <c r="AE47"/>
      <c r="AF47" s="125"/>
    </row>
    <row r="48" spans="1:32" s="342" customFormat="1">
      <c r="A48" s="284">
        <v>46048</v>
      </c>
      <c r="B48" s="369" t="s">
        <v>198</v>
      </c>
      <c r="C48" s="299" t="s">
        <v>8</v>
      </c>
      <c r="D48" s="188"/>
      <c r="E48" s="188"/>
      <c r="F48" s="326">
        <v>-36</v>
      </c>
      <c r="G48" s="327"/>
      <c r="H48" s="188"/>
      <c r="I48" s="188"/>
      <c r="J48" s="188"/>
      <c r="K48" s="188"/>
      <c r="L48" s="188"/>
      <c r="M48" s="188"/>
      <c r="N48" s="188"/>
      <c r="O48" s="188"/>
      <c r="P48" s="326"/>
      <c r="Q48" s="188"/>
      <c r="R48" s="188"/>
      <c r="S48" s="188"/>
      <c r="T48" s="188"/>
      <c r="U48" s="188"/>
      <c r="V48" s="188"/>
      <c r="W48" s="323"/>
      <c r="Y48" s="343"/>
      <c r="Z48" s="23"/>
      <c r="AA48" s="23"/>
      <c r="AB48" s="26"/>
      <c r="AD48" s="370"/>
      <c r="AE48" s="371"/>
      <c r="AF48" s="372"/>
    </row>
    <row r="49" spans="1:32" s="342" customFormat="1">
      <c r="A49" s="284">
        <v>46048</v>
      </c>
      <c r="B49" s="369" t="s">
        <v>222</v>
      </c>
      <c r="C49" s="299" t="s">
        <v>8</v>
      </c>
      <c r="D49" s="188"/>
      <c r="E49" s="188"/>
      <c r="F49" s="326">
        <v>-5</v>
      </c>
      <c r="G49" s="327"/>
      <c r="H49" s="188"/>
      <c r="I49" s="188"/>
      <c r="J49" s="188"/>
      <c r="K49" s="188"/>
      <c r="L49" s="188"/>
      <c r="M49" s="188"/>
      <c r="N49" s="188"/>
      <c r="O49" s="188"/>
      <c r="P49" s="326"/>
      <c r="Q49" s="188"/>
      <c r="R49" s="188"/>
      <c r="S49" s="188"/>
      <c r="T49" s="188"/>
      <c r="U49" s="188"/>
      <c r="V49" s="188"/>
      <c r="W49" s="323"/>
      <c r="Y49" s="343"/>
      <c r="Z49" s="23"/>
      <c r="AA49" s="23"/>
      <c r="AB49" s="26"/>
      <c r="AD49" s="370"/>
      <c r="AE49" s="371"/>
      <c r="AF49" s="372"/>
    </row>
    <row r="50" spans="1:32" s="342" customFormat="1">
      <c r="A50" s="284">
        <v>46048</v>
      </c>
      <c r="B50" s="369" t="s">
        <v>149</v>
      </c>
      <c r="C50" s="299" t="s">
        <v>149</v>
      </c>
      <c r="D50" s="188"/>
      <c r="E50" s="188">
        <f>-2196-4</f>
        <v>-2200</v>
      </c>
      <c r="F50" s="326">
        <v>2196</v>
      </c>
      <c r="G50" s="327"/>
      <c r="H50" s="188"/>
      <c r="I50" s="188"/>
      <c r="J50" s="188"/>
      <c r="K50" s="188"/>
      <c r="L50" s="188"/>
      <c r="M50" s="188"/>
      <c r="N50" s="188"/>
      <c r="O50" s="188"/>
      <c r="P50" s="326"/>
      <c r="Q50" s="188"/>
      <c r="R50" s="188"/>
      <c r="S50" s="188"/>
      <c r="T50" s="188"/>
      <c r="U50" s="188"/>
      <c r="V50" s="188"/>
      <c r="W50" s="323"/>
      <c r="Y50" s="343"/>
      <c r="Z50" s="23"/>
      <c r="AA50" s="23"/>
      <c r="AB50" s="26"/>
      <c r="AD50" s="370"/>
      <c r="AE50" s="371"/>
      <c r="AF50" s="372"/>
    </row>
    <row r="51" spans="1:32" s="342" customFormat="1">
      <c r="A51" s="340">
        <v>46048</v>
      </c>
      <c r="B51" s="369" t="s">
        <v>189</v>
      </c>
      <c r="C51" s="299" t="s">
        <v>8</v>
      </c>
      <c r="D51" s="188"/>
      <c r="E51" s="188"/>
      <c r="F51" s="326">
        <v>-70</v>
      </c>
      <c r="G51" s="327"/>
      <c r="H51" s="188"/>
      <c r="I51" s="188"/>
      <c r="J51" s="188"/>
      <c r="K51" s="188"/>
      <c r="L51" s="188"/>
      <c r="M51" s="188"/>
      <c r="N51" s="188"/>
      <c r="O51" s="188"/>
      <c r="P51" s="326"/>
      <c r="Q51" s="188"/>
      <c r="R51" s="188"/>
      <c r="S51" s="188"/>
      <c r="T51" s="188"/>
      <c r="U51" s="188"/>
      <c r="V51" s="188"/>
      <c r="W51" s="323"/>
      <c r="Y51" s="343"/>
      <c r="Z51" s="23"/>
      <c r="AA51" s="23"/>
      <c r="AB51" s="26"/>
      <c r="AD51" s="370"/>
      <c r="AE51" s="371"/>
      <c r="AF51" s="372"/>
    </row>
    <row r="52" spans="1:32" s="342" customFormat="1">
      <c r="A52" s="340">
        <v>45684</v>
      </c>
      <c r="B52" s="369" t="s">
        <v>223</v>
      </c>
      <c r="C52" s="299" t="s">
        <v>17</v>
      </c>
      <c r="D52" s="188"/>
      <c r="E52" s="188"/>
      <c r="F52" s="326">
        <f>-1-38</f>
        <v>-39</v>
      </c>
      <c r="G52" s="327">
        <f>-102-30-20</f>
        <v>-152</v>
      </c>
      <c r="H52" s="188"/>
      <c r="I52" s="188"/>
      <c r="J52" s="188"/>
      <c r="K52" s="188"/>
      <c r="L52" s="188"/>
      <c r="M52" s="188"/>
      <c r="N52" s="188"/>
      <c r="O52" s="188"/>
      <c r="P52" s="326"/>
      <c r="Q52" s="188"/>
      <c r="R52" s="188"/>
      <c r="S52" s="188"/>
      <c r="T52" s="188"/>
      <c r="U52" s="188"/>
      <c r="V52" s="188"/>
      <c r="W52" s="323"/>
      <c r="Y52" s="343"/>
      <c r="Z52" s="23"/>
      <c r="AA52" s="23"/>
      <c r="AB52" s="26"/>
      <c r="AD52" s="370"/>
      <c r="AE52" s="371"/>
      <c r="AF52" s="372"/>
    </row>
    <row r="53" spans="1:32" s="342" customFormat="1">
      <c r="A53" s="340">
        <v>45684</v>
      </c>
      <c r="B53" s="369" t="s">
        <v>224</v>
      </c>
      <c r="C53" s="299" t="s">
        <v>27</v>
      </c>
      <c r="D53" s="188"/>
      <c r="E53" s="188"/>
      <c r="F53" s="326">
        <f>-200-340-30</f>
        <v>-570</v>
      </c>
      <c r="G53" s="327"/>
      <c r="H53" s="188"/>
      <c r="I53" s="188"/>
      <c r="J53" s="188"/>
      <c r="K53" s="188"/>
      <c r="L53" s="188"/>
      <c r="M53" s="188"/>
      <c r="N53" s="188"/>
      <c r="O53" s="188"/>
      <c r="P53" s="326"/>
      <c r="Q53" s="188"/>
      <c r="R53" s="188"/>
      <c r="S53" s="188"/>
      <c r="T53" s="188"/>
      <c r="U53" s="188"/>
      <c r="V53" s="188"/>
      <c r="W53" s="323"/>
      <c r="Y53" s="343"/>
      <c r="Z53" s="23"/>
      <c r="AA53" s="23"/>
      <c r="AB53" s="26"/>
      <c r="AD53" s="370"/>
      <c r="AE53" s="371"/>
      <c r="AF53" s="372"/>
    </row>
    <row r="54" spans="1:32" s="342" customFormat="1">
      <c r="A54" s="340">
        <v>45687</v>
      </c>
      <c r="B54" s="369" t="s">
        <v>170</v>
      </c>
      <c r="C54" s="299" t="s">
        <v>170</v>
      </c>
      <c r="D54" s="188"/>
      <c r="E54" s="188">
        <v>4794.41</v>
      </c>
      <c r="F54" s="326"/>
      <c r="G54" s="327"/>
      <c r="H54" s="188"/>
      <c r="I54" s="188"/>
      <c r="J54" s="188"/>
      <c r="K54" s="188"/>
      <c r="L54" s="188"/>
      <c r="M54" s="188"/>
      <c r="N54" s="188"/>
      <c r="O54" s="188"/>
      <c r="P54" s="326"/>
      <c r="Q54" s="188"/>
      <c r="R54" s="188"/>
      <c r="S54" s="188"/>
      <c r="T54" s="188"/>
      <c r="U54" s="188"/>
      <c r="V54" s="188"/>
      <c r="W54" s="323"/>
      <c r="Y54" s="343"/>
      <c r="Z54" s="23"/>
      <c r="AA54" s="23"/>
      <c r="AB54" s="26"/>
      <c r="AD54" s="370"/>
      <c r="AE54" s="371"/>
      <c r="AF54" s="372"/>
    </row>
    <row r="55" spans="1:32" s="342" customFormat="1">
      <c r="A55" s="340">
        <v>111795</v>
      </c>
      <c r="B55" s="369" t="s">
        <v>214</v>
      </c>
      <c r="C55" s="299" t="s">
        <v>13</v>
      </c>
      <c r="D55" s="188"/>
      <c r="E55" s="188"/>
      <c r="F55" s="326">
        <v>-200</v>
      </c>
      <c r="G55" s="327">
        <v>-77</v>
      </c>
      <c r="H55" s="188"/>
      <c r="I55" s="188"/>
      <c r="J55" s="188"/>
      <c r="K55" s="188"/>
      <c r="L55" s="188"/>
      <c r="M55" s="188"/>
      <c r="N55" s="188"/>
      <c r="O55" s="188"/>
      <c r="P55" s="326"/>
      <c r="Q55" s="188"/>
      <c r="R55" s="188"/>
      <c r="S55" s="188"/>
      <c r="T55" s="188"/>
      <c r="U55" s="188"/>
      <c r="V55" s="188"/>
      <c r="W55" s="323"/>
      <c r="Y55" s="343"/>
      <c r="Z55" s="23"/>
      <c r="AA55" s="23"/>
      <c r="AB55" s="26"/>
      <c r="AD55" s="370"/>
      <c r="AE55" s="371"/>
      <c r="AF55" s="372"/>
    </row>
    <row r="56" spans="1:32" s="342" customFormat="1">
      <c r="A56" s="340">
        <v>46053</v>
      </c>
      <c r="B56" s="369" t="s">
        <v>224</v>
      </c>
      <c r="C56" s="299" t="s">
        <v>20</v>
      </c>
      <c r="D56" s="188"/>
      <c r="E56" s="188"/>
      <c r="F56" s="326">
        <v>-70</v>
      </c>
      <c r="G56" s="327">
        <v>-75</v>
      </c>
      <c r="H56" s="188"/>
      <c r="I56" s="188"/>
      <c r="J56" s="188"/>
      <c r="K56" s="188"/>
      <c r="L56" s="188"/>
      <c r="M56" s="188"/>
      <c r="N56" s="188"/>
      <c r="O56" s="188"/>
      <c r="P56" s="326"/>
      <c r="Q56" s="188"/>
      <c r="R56" s="188"/>
      <c r="S56" s="188"/>
      <c r="T56" s="188"/>
      <c r="U56" s="188"/>
      <c r="V56" s="188"/>
      <c r="W56" s="323"/>
      <c r="Y56" s="343"/>
      <c r="Z56" s="23"/>
      <c r="AA56" s="23"/>
      <c r="AB56" s="26"/>
      <c r="AD56" s="370"/>
      <c r="AE56" s="371"/>
      <c r="AF56" s="372"/>
    </row>
    <row r="57" spans="1:32" s="342" customFormat="1">
      <c r="A57" s="340">
        <v>46053</v>
      </c>
      <c r="B57" s="369" t="s">
        <v>158</v>
      </c>
      <c r="C57" s="299" t="s">
        <v>21</v>
      </c>
      <c r="D57" s="188"/>
      <c r="E57" s="188"/>
      <c r="F57" s="326">
        <v>-306</v>
      </c>
      <c r="G57" s="327"/>
      <c r="H57" s="188"/>
      <c r="I57" s="188"/>
      <c r="J57" s="188"/>
      <c r="K57" s="188"/>
      <c r="L57" s="188"/>
      <c r="M57" s="188"/>
      <c r="N57" s="188"/>
      <c r="O57" s="188"/>
      <c r="P57" s="326"/>
      <c r="Q57" s="188"/>
      <c r="R57" s="188"/>
      <c r="S57" s="188"/>
      <c r="T57" s="188"/>
      <c r="U57" s="188"/>
      <c r="V57" s="188"/>
      <c r="W57" s="323"/>
      <c r="Y57" s="343"/>
      <c r="Z57" s="23"/>
      <c r="AA57" s="23"/>
      <c r="AB57" s="26"/>
      <c r="AD57" s="370"/>
      <c r="AE57" s="371"/>
      <c r="AF57" s="372"/>
    </row>
    <row r="58" spans="1:32" s="342" customFormat="1">
      <c r="A58" s="340">
        <v>46053</v>
      </c>
      <c r="B58" s="369" t="s">
        <v>144</v>
      </c>
      <c r="C58" s="299" t="s">
        <v>21</v>
      </c>
      <c r="D58" s="188"/>
      <c r="E58" s="188"/>
      <c r="F58" s="326">
        <v>-50</v>
      </c>
      <c r="G58" s="327"/>
      <c r="H58" s="188"/>
      <c r="I58" s="188"/>
      <c r="J58" s="188"/>
      <c r="K58" s="188"/>
      <c r="L58" s="188"/>
      <c r="M58" s="188"/>
      <c r="N58" s="188"/>
      <c r="O58" s="188"/>
      <c r="P58" s="326"/>
      <c r="Q58" s="188"/>
      <c r="R58" s="188"/>
      <c r="S58" s="188"/>
      <c r="T58" s="188"/>
      <c r="U58" s="188"/>
      <c r="V58" s="188"/>
      <c r="W58" s="323"/>
      <c r="Y58" s="343"/>
      <c r="Z58" s="23"/>
      <c r="AA58" s="23"/>
      <c r="AB58" s="26"/>
      <c r="AD58" s="370"/>
      <c r="AE58" s="371"/>
      <c r="AF58" s="372"/>
    </row>
    <row r="59" spans="1:32" s="342" customFormat="1">
      <c r="A59" s="340">
        <v>46053</v>
      </c>
      <c r="B59" s="369" t="s">
        <v>223</v>
      </c>
      <c r="C59" s="299" t="s">
        <v>17</v>
      </c>
      <c r="D59" s="188"/>
      <c r="E59" s="188"/>
      <c r="F59" s="326"/>
      <c r="G59" s="327">
        <f>-80</f>
        <v>-80</v>
      </c>
      <c r="H59" s="188"/>
      <c r="I59" s="188"/>
      <c r="J59" s="188"/>
      <c r="K59" s="188"/>
      <c r="L59" s="188"/>
      <c r="M59" s="188"/>
      <c r="N59" s="188"/>
      <c r="O59" s="188"/>
      <c r="P59" s="326"/>
      <c r="Q59" s="188"/>
      <c r="R59" s="188"/>
      <c r="S59" s="188"/>
      <c r="T59" s="188"/>
      <c r="U59" s="188"/>
      <c r="V59" s="188"/>
      <c r="W59" s="323"/>
      <c r="Y59" s="343"/>
      <c r="Z59" s="23"/>
      <c r="AA59" s="23"/>
      <c r="AB59" s="26"/>
      <c r="AD59" s="370"/>
      <c r="AE59" s="371"/>
      <c r="AF59" s="372"/>
    </row>
    <row r="60" spans="1:32" s="342" customFormat="1">
      <c r="A60" s="340">
        <v>46053</v>
      </c>
      <c r="B60" s="369" t="s">
        <v>214</v>
      </c>
      <c r="C60" s="299" t="s">
        <v>13</v>
      </c>
      <c r="D60" s="188"/>
      <c r="E60" s="188"/>
      <c r="F60" s="326"/>
      <c r="G60" s="327">
        <v>-75</v>
      </c>
      <c r="H60" s="188"/>
      <c r="I60" s="188"/>
      <c r="J60" s="188"/>
      <c r="K60" s="188"/>
      <c r="L60" s="188"/>
      <c r="M60" s="188"/>
      <c r="N60" s="188"/>
      <c r="O60" s="188"/>
      <c r="P60" s="326"/>
      <c r="Q60" s="188"/>
      <c r="R60" s="188"/>
      <c r="S60" s="188"/>
      <c r="T60" s="188"/>
      <c r="U60" s="188"/>
      <c r="V60" s="188"/>
      <c r="W60" s="323"/>
      <c r="Y60" s="343"/>
      <c r="Z60" s="23"/>
      <c r="AA60" s="23"/>
      <c r="AB60" s="26"/>
      <c r="AD60" s="370"/>
      <c r="AE60" s="371"/>
      <c r="AF60" s="372"/>
    </row>
    <row r="61" spans="1:32" s="342" customFormat="1">
      <c r="A61" s="340">
        <v>46053</v>
      </c>
      <c r="B61" s="369" t="s">
        <v>15</v>
      </c>
      <c r="C61" s="299" t="s">
        <v>15</v>
      </c>
      <c r="D61" s="188"/>
      <c r="E61" s="188"/>
      <c r="F61" s="326">
        <v>-80</v>
      </c>
      <c r="G61" s="327"/>
      <c r="H61" s="188"/>
      <c r="I61" s="188"/>
      <c r="J61" s="188"/>
      <c r="K61" s="188"/>
      <c r="L61" s="188"/>
      <c r="M61" s="188"/>
      <c r="N61" s="188"/>
      <c r="O61" s="188"/>
      <c r="P61" s="326"/>
      <c r="Q61" s="188"/>
      <c r="R61" s="188"/>
      <c r="S61" s="188"/>
      <c r="T61" s="188"/>
      <c r="U61" s="188"/>
      <c r="V61" s="188"/>
      <c r="W61" s="323"/>
      <c r="Y61" s="343"/>
      <c r="Z61" s="23"/>
      <c r="AA61" s="23"/>
      <c r="AB61" s="26"/>
      <c r="AD61" s="370"/>
      <c r="AE61" s="371"/>
      <c r="AF61" s="372"/>
    </row>
    <row r="62" spans="1:32" s="342" customFormat="1">
      <c r="A62" s="284">
        <v>46053</v>
      </c>
      <c r="B62" s="288" t="s">
        <v>3</v>
      </c>
      <c r="C62" s="299" t="s">
        <v>3</v>
      </c>
      <c r="D62" s="188"/>
      <c r="E62" s="188">
        <v>-25</v>
      </c>
      <c r="F62" s="326"/>
      <c r="G62" s="327"/>
      <c r="H62" s="188"/>
      <c r="I62" s="188">
        <v>25</v>
      </c>
      <c r="J62" s="188"/>
      <c r="K62" s="188"/>
      <c r="L62" s="188"/>
      <c r="M62" s="188"/>
      <c r="N62" s="188"/>
      <c r="O62" s="188"/>
      <c r="P62" s="326"/>
      <c r="Q62" s="188"/>
      <c r="R62" s="188"/>
      <c r="S62" s="188"/>
      <c r="T62" s="188"/>
      <c r="U62" s="188"/>
      <c r="V62" s="188"/>
      <c r="W62" s="323"/>
      <c r="Y62" s="343"/>
      <c r="Z62" s="23"/>
      <c r="AA62" s="23"/>
      <c r="AB62" s="26"/>
      <c r="AD62" s="370"/>
      <c r="AE62" s="371"/>
      <c r="AF62" s="372"/>
    </row>
    <row r="63" spans="1:32">
      <c r="A63" s="285">
        <v>46053</v>
      </c>
      <c r="B63" s="102" t="s">
        <v>149</v>
      </c>
      <c r="C63" s="386" t="s">
        <v>149</v>
      </c>
      <c r="D63" s="201"/>
      <c r="E63" s="201">
        <f>-SUM(F63:G63)</f>
        <v>-5234</v>
      </c>
      <c r="F63" s="328">
        <f>-SUM(F4:F62)</f>
        <v>3634</v>
      </c>
      <c r="G63" s="329">
        <f>-SUM(G4:G62)</f>
        <v>1600</v>
      </c>
      <c r="H63" s="201"/>
      <c r="I63" s="201"/>
      <c r="J63" s="201"/>
      <c r="K63" s="201"/>
      <c r="L63" s="201"/>
      <c r="M63" s="201"/>
      <c r="N63" s="201"/>
      <c r="O63" s="201"/>
      <c r="P63" s="328"/>
      <c r="Q63" s="201"/>
      <c r="R63" s="201"/>
      <c r="S63" s="201"/>
      <c r="T63" s="201"/>
      <c r="U63" s="201"/>
      <c r="V63" s="201"/>
      <c r="W63" s="561"/>
      <c r="Y63" s="18"/>
      <c r="Z63" s="23"/>
      <c r="AA63" s="23"/>
      <c r="AB63" s="26"/>
      <c r="AD63" s="124"/>
      <c r="AE63"/>
      <c r="AF63" s="125"/>
    </row>
    <row r="64" spans="1:32">
      <c r="A64" s="286"/>
      <c r="B64" s="387"/>
      <c r="C64" s="388"/>
      <c r="D64" s="148"/>
      <c r="E64" s="148">
        <f>9100-SUM(E3:E63)</f>
        <v>-6920.41</v>
      </c>
      <c r="F64" s="391"/>
      <c r="G64" s="578"/>
      <c r="H64" s="392"/>
      <c r="I64" s="392">
        <v>4000</v>
      </c>
      <c r="J64" s="392"/>
      <c r="K64" s="392">
        <v>500</v>
      </c>
      <c r="L64" s="392">
        <v>500</v>
      </c>
      <c r="M64" s="392"/>
      <c r="N64" s="392">
        <v>500</v>
      </c>
      <c r="O64" s="392">
        <v>420</v>
      </c>
      <c r="P64" s="391">
        <v>3945</v>
      </c>
      <c r="Q64" s="392"/>
      <c r="R64" s="392">
        <v>1616</v>
      </c>
      <c r="S64" s="392">
        <v>106</v>
      </c>
      <c r="T64" s="392"/>
      <c r="U64" s="392"/>
      <c r="V64" s="392">
        <v>15497</v>
      </c>
      <c r="W64" s="562">
        <f>87.5+66.69+28.41</f>
        <v>182.6</v>
      </c>
      <c r="Y64" s="30"/>
      <c r="Z64" s="48"/>
      <c r="AA64" s="48"/>
      <c r="AB64" s="49"/>
      <c r="AD64" s="126"/>
      <c r="AE64" s="127"/>
      <c r="AF64" s="128"/>
    </row>
    <row r="65" spans="1:32" ht="14.25" customHeight="1">
      <c r="A65" s="31" t="s">
        <v>134</v>
      </c>
      <c r="B65" s="31"/>
      <c r="C65" s="146"/>
      <c r="D65" s="196">
        <f>SUM(D3:D64)</f>
        <v>2000</v>
      </c>
      <c r="E65" s="196">
        <f>SUM(E3:E64)</f>
        <v>9100</v>
      </c>
      <c r="F65" s="197">
        <f t="shared" ref="F65:O65" si="2">SUM(F3:F64)</f>
        <v>0</v>
      </c>
      <c r="G65" s="197">
        <f t="shared" si="2"/>
        <v>0</v>
      </c>
      <c r="H65" s="197">
        <f>SUM(H3:H64)</f>
        <v>14645.080000000002</v>
      </c>
      <c r="I65" s="197">
        <f t="shared" si="2"/>
        <v>55015.000000000007</v>
      </c>
      <c r="J65" s="197">
        <f t="shared" si="2"/>
        <v>152796</v>
      </c>
      <c r="K65" s="197">
        <f t="shared" si="2"/>
        <v>67208.709999999992</v>
      </c>
      <c r="L65" s="197">
        <f t="shared" si="2"/>
        <v>20985.75</v>
      </c>
      <c r="M65" s="197">
        <f t="shared" si="2"/>
        <v>30000.370000000003</v>
      </c>
      <c r="N65" s="197">
        <f t="shared" si="2"/>
        <v>4000</v>
      </c>
      <c r="O65" s="197">
        <f t="shared" si="2"/>
        <v>25572.500000000004</v>
      </c>
      <c r="P65" s="197">
        <f>SUM(P3:P64)</f>
        <v>210453</v>
      </c>
      <c r="Q65" s="197">
        <f t="shared" ref="Q65:W65" si="3">SUM(Q3:Q64)</f>
        <v>130109</v>
      </c>
      <c r="R65" s="197">
        <f t="shared" si="3"/>
        <v>64871</v>
      </c>
      <c r="S65" s="197">
        <f t="shared" si="3"/>
        <v>4185</v>
      </c>
      <c r="T65" s="197">
        <f t="shared" si="3"/>
        <v>33181</v>
      </c>
      <c r="U65" s="197">
        <f t="shared" si="3"/>
        <v>27298</v>
      </c>
      <c r="V65" s="197">
        <f>SUM(V3:V64)</f>
        <v>229377</v>
      </c>
      <c r="W65" s="197">
        <f t="shared" si="3"/>
        <v>3126.9</v>
      </c>
      <c r="Y65" s="100" t="s">
        <v>29</v>
      </c>
      <c r="Z65" s="32">
        <f>SUM(Z4:Z63)</f>
        <v>13325</v>
      </c>
      <c r="AA65" s="32">
        <f>SUM(AA4:AA63)</f>
        <v>-13407</v>
      </c>
      <c r="AB65" s="101">
        <f>SUM(AB4:AB63)</f>
        <v>-82</v>
      </c>
      <c r="AC65" s="11"/>
      <c r="AD65" s="100"/>
      <c r="AE65" s="57"/>
      <c r="AF65" s="102"/>
    </row>
    <row r="66" spans="1:32">
      <c r="A66" s="31"/>
      <c r="B66" s="31"/>
      <c r="C66" s="96"/>
      <c r="D66" s="96"/>
      <c r="E66" s="96"/>
      <c r="F66" s="96"/>
      <c r="G66" s="96"/>
      <c r="H66" s="96"/>
      <c r="I66" s="96"/>
      <c r="J66" s="96"/>
      <c r="K66" s="96"/>
      <c r="L66" s="96"/>
      <c r="N66" s="96"/>
      <c r="O66" s="536"/>
      <c r="P66" s="537"/>
      <c r="Q66" s="537"/>
      <c r="R66" s="537"/>
      <c r="S66" s="537"/>
      <c r="T66" s="538"/>
      <c r="U66" s="538"/>
      <c r="V66" s="537"/>
      <c r="W66" s="96"/>
      <c r="Y66" s="31"/>
      <c r="Z66" s="95"/>
      <c r="AA66" s="95"/>
      <c r="AB66" s="95"/>
      <c r="AD66" s="31"/>
      <c r="AE66" s="24"/>
    </row>
    <row r="67" spans="1:32">
      <c r="A67" s="31"/>
      <c r="B67" s="31"/>
      <c r="C67"/>
      <c r="D67"/>
      <c r="E67" s="96"/>
      <c r="F67" s="96"/>
      <c r="G67" s="96"/>
      <c r="H67"/>
      <c r="I67"/>
      <c r="J67"/>
      <c r="K67"/>
      <c r="L67"/>
      <c r="M67" s="96"/>
      <c r="Q67" s="539"/>
      <c r="R67" s="540"/>
      <c r="S67" s="540"/>
      <c r="T67" s="540"/>
      <c r="U67" s="540"/>
      <c r="V67" s="541"/>
      <c r="W67" s="641">
        <f>SUM(D65:W65)</f>
        <v>1083924.31</v>
      </c>
      <c r="Z67" s="95"/>
      <c r="AA67" s="95"/>
      <c r="AB67" s="95"/>
      <c r="AD67" s="31"/>
      <c r="AE67" s="24"/>
    </row>
    <row r="68" spans="1:32">
      <c r="A68"/>
      <c r="B68"/>
      <c r="C68"/>
      <c r="D68"/>
      <c r="E68" s="96"/>
      <c r="F68" s="96"/>
      <c r="G68" s="96"/>
      <c r="H68"/>
      <c r="I68"/>
      <c r="J68"/>
      <c r="K68"/>
      <c r="L68"/>
      <c r="M68" s="134"/>
      <c r="N68"/>
      <c r="O68" s="454"/>
      <c r="Q68" s="454"/>
      <c r="R68" s="456"/>
      <c r="S68" s="456"/>
      <c r="T68" s="456"/>
      <c r="U68" s="456"/>
      <c r="V68" s="456"/>
      <c r="W68" s="281"/>
    </row>
    <row r="69" spans="1:32">
      <c r="A69"/>
      <c r="B69"/>
      <c r="C69"/>
      <c r="D69"/>
      <c r="E69" s="96"/>
      <c r="F69" s="96"/>
      <c r="G69" s="96"/>
      <c r="H69"/>
      <c r="I69"/>
      <c r="J69"/>
      <c r="K69"/>
      <c r="L69"/>
      <c r="M69"/>
      <c r="N69"/>
      <c r="O69" s="542"/>
      <c r="P69" s="436"/>
      <c r="Q69" s="454"/>
      <c r="R69" s="456"/>
      <c r="S69" s="456"/>
      <c r="T69" s="456"/>
      <c r="U69" s="456"/>
      <c r="V69" s="282"/>
      <c r="W69" s="282"/>
      <c r="X69" s="37"/>
      <c r="Y69" s="38" t="s">
        <v>135</v>
      </c>
    </row>
    <row r="70" spans="1:32">
      <c r="A70"/>
      <c r="B70"/>
      <c r="C70"/>
      <c r="D70"/>
      <c r="E70" s="96"/>
      <c r="F70" s="96"/>
      <c r="G70" s="96"/>
      <c r="H70"/>
      <c r="I70"/>
      <c r="J70" s="134"/>
      <c r="K70"/>
      <c r="L70"/>
      <c r="M70"/>
      <c r="N70"/>
      <c r="O70"/>
      <c r="P70"/>
      <c r="Q70"/>
      <c r="R70"/>
      <c r="S70" s="96"/>
      <c r="V70" s="204" t="s">
        <v>136</v>
      </c>
      <c r="W70" s="279">
        <f>SUM(H65:O65)</f>
        <v>370223.41000000003</v>
      </c>
      <c r="X70" s="37"/>
      <c r="Y70" s="41">
        <f>W70/W73</f>
        <v>0.34155836028809061</v>
      </c>
    </row>
    <row r="71" spans="1:32">
      <c r="A71"/>
      <c r="B71"/>
      <c r="C71"/>
      <c r="D71"/>
      <c r="E71" s="96"/>
      <c r="F71" s="96"/>
      <c r="G71" s="96"/>
      <c r="H71"/>
      <c r="I71"/>
      <c r="J71" s="577"/>
      <c r="K71"/>
      <c r="L71"/>
      <c r="M71"/>
      <c r="N71"/>
      <c r="O71"/>
      <c r="P71"/>
      <c r="Q71"/>
      <c r="R71"/>
      <c r="S71" s="96"/>
      <c r="V71" s="204" t="s">
        <v>137</v>
      </c>
      <c r="W71" s="279">
        <f>SUM(P65:W65)</f>
        <v>702600.9</v>
      </c>
      <c r="X71" s="37"/>
      <c r="Y71" s="41">
        <f>W71/W73</f>
        <v>0.6482010722685978</v>
      </c>
    </row>
    <row r="72" spans="1:32">
      <c r="A72"/>
      <c r="B72"/>
      <c r="C72"/>
      <c r="D72"/>
      <c r="E72" s="96"/>
      <c r="F72" s="96"/>
      <c r="G72" s="96"/>
      <c r="H72"/>
      <c r="I72"/>
      <c r="J72" s="134"/>
      <c r="L72"/>
      <c r="M72"/>
      <c r="N72"/>
      <c r="O72"/>
      <c r="P72"/>
      <c r="Q72"/>
      <c r="R72"/>
      <c r="V72" s="204" t="s">
        <v>138</v>
      </c>
      <c r="W72" s="279">
        <f>E65+D65</f>
        <v>11100</v>
      </c>
      <c r="X72" s="37"/>
      <c r="Y72" s="41">
        <f>W72/W73</f>
        <v>1.0240567443311609E-2</v>
      </c>
    </row>
    <row r="73" spans="1:32">
      <c r="A73"/>
      <c r="B73"/>
      <c r="C73"/>
      <c r="D73"/>
      <c r="F73" s="96"/>
      <c r="G73" s="96"/>
      <c r="H73"/>
      <c r="I73"/>
      <c r="J73"/>
      <c r="K73"/>
      <c r="L73"/>
      <c r="M73"/>
      <c r="N73"/>
      <c r="O73"/>
      <c r="P73"/>
      <c r="Q73"/>
      <c r="R73"/>
      <c r="V73" s="204" t="s">
        <v>56</v>
      </c>
      <c r="W73" s="642">
        <f>SUM(W70:W72)</f>
        <v>1083924.31</v>
      </c>
      <c r="X73" s="37"/>
      <c r="Y73" s="43"/>
    </row>
    <row r="74" spans="1:32">
      <c r="A74"/>
      <c r="B74"/>
      <c r="C74"/>
      <c r="D74"/>
      <c r="E74" s="25"/>
      <c r="F74" s="96"/>
      <c r="G74" s="96"/>
      <c r="H74"/>
      <c r="I74"/>
      <c r="J74"/>
      <c r="K74"/>
      <c r="L74"/>
      <c r="M74"/>
      <c r="N74"/>
      <c r="O74"/>
      <c r="P74"/>
      <c r="Q74"/>
      <c r="R74"/>
      <c r="V74" s="203"/>
      <c r="W74" s="44">
        <f>W73-W67</f>
        <v>0</v>
      </c>
      <c r="X74" s="37"/>
      <c r="Y74" s="37"/>
    </row>
    <row r="75" spans="1:32">
      <c r="A75"/>
      <c r="B75"/>
      <c r="C75"/>
      <c r="D75"/>
      <c r="E75" s="25"/>
      <c r="F75" s="96"/>
      <c r="G75" s="96"/>
      <c r="H75"/>
      <c r="I75"/>
      <c r="J75"/>
      <c r="K75"/>
      <c r="L75"/>
      <c r="M75"/>
      <c r="N75"/>
      <c r="O75"/>
      <c r="P75"/>
      <c r="Q75"/>
      <c r="R75"/>
      <c r="V75" s="456"/>
      <c r="W75" s="281"/>
    </row>
    <row r="76" spans="1:32">
      <c r="A76"/>
      <c r="B76"/>
      <c r="C76"/>
      <c r="D76"/>
      <c r="E76" s="25"/>
      <c r="F76" s="96"/>
      <c r="G76" s="96"/>
      <c r="H76"/>
      <c r="I76"/>
      <c r="J76"/>
      <c r="K76"/>
      <c r="L76"/>
      <c r="M76"/>
      <c r="N76"/>
      <c r="O76"/>
      <c r="P76"/>
      <c r="Q76"/>
      <c r="R76"/>
      <c r="V76" s="456"/>
      <c r="W76" s="534"/>
    </row>
    <row r="77" spans="1:32">
      <c r="A77"/>
      <c r="B77"/>
      <c r="C77"/>
      <c r="D77"/>
      <c r="E77" s="25"/>
      <c r="F77" s="96"/>
      <c r="G77" s="96"/>
      <c r="H77"/>
      <c r="I77"/>
      <c r="J77"/>
      <c r="K77"/>
      <c r="L77"/>
      <c r="M77"/>
      <c r="N77"/>
      <c r="O77"/>
      <c r="P77"/>
      <c r="Q77"/>
      <c r="R77"/>
      <c r="V77" s="456"/>
      <c r="W77" s="281"/>
    </row>
    <row r="78" spans="1:32">
      <c r="A78"/>
      <c r="B78"/>
      <c r="C78"/>
      <c r="D78"/>
      <c r="E78" s="25"/>
      <c r="F78"/>
      <c r="G78"/>
      <c r="H78"/>
      <c r="I78"/>
      <c r="J78"/>
      <c r="K78"/>
      <c r="L78"/>
      <c r="M78"/>
      <c r="N78"/>
      <c r="O78"/>
      <c r="P78"/>
      <c r="Q78"/>
      <c r="R78"/>
      <c r="V78" s="456"/>
      <c r="W78" s="535"/>
    </row>
    <row r="79" spans="1:32">
      <c r="A79"/>
      <c r="B79"/>
      <c r="C79"/>
      <c r="D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32">
      <c r="A80"/>
      <c r="B80"/>
      <c r="C80"/>
      <c r="D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>
      <c r="A81"/>
      <c r="B81"/>
      <c r="C81"/>
      <c r="D81"/>
      <c r="F81"/>
      <c r="G81"/>
      <c r="H81"/>
      <c r="I81"/>
      <c r="J81"/>
      <c r="K81" s="2"/>
      <c r="L81"/>
      <c r="M81"/>
      <c r="N81"/>
      <c r="O81"/>
      <c r="P81"/>
      <c r="Q81"/>
      <c r="R81"/>
    </row>
    <row r="82" spans="1:18">
      <c r="A82"/>
      <c r="B82"/>
      <c r="C82"/>
      <c r="D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>
      <c r="A83"/>
      <c r="B83"/>
      <c r="G83"/>
      <c r="H83"/>
      <c r="I83"/>
      <c r="J83"/>
      <c r="K83"/>
      <c r="L83"/>
      <c r="M83"/>
      <c r="N83"/>
      <c r="O83"/>
      <c r="P83"/>
      <c r="Q83"/>
      <c r="R83"/>
    </row>
    <row r="84" spans="1:18">
      <c r="A84"/>
      <c r="B84"/>
      <c r="G84"/>
      <c r="H84"/>
      <c r="I84"/>
      <c r="J84"/>
      <c r="K84"/>
      <c r="L84"/>
      <c r="M84"/>
      <c r="N84"/>
      <c r="O84"/>
      <c r="P84"/>
      <c r="Q84"/>
      <c r="R84"/>
    </row>
    <row r="85" spans="1:18">
      <c r="A85"/>
      <c r="B85"/>
      <c r="G85"/>
      <c r="H85"/>
      <c r="I85"/>
      <c r="J85"/>
      <c r="K85"/>
      <c r="L85"/>
      <c r="M85"/>
      <c r="N85"/>
      <c r="O85"/>
      <c r="P85"/>
      <c r="Q85"/>
      <c r="R85"/>
    </row>
    <row r="86" spans="1:18">
      <c r="A86"/>
      <c r="B86"/>
      <c r="C86"/>
      <c r="G86"/>
      <c r="H86"/>
      <c r="I86"/>
      <c r="J86"/>
      <c r="K86"/>
      <c r="L86"/>
      <c r="M86"/>
      <c r="N86"/>
      <c r="O86"/>
      <c r="P86"/>
      <c r="Q86"/>
      <c r="R86"/>
    </row>
    <row r="87" spans="1:18">
      <c r="A87"/>
      <c r="B87"/>
      <c r="G87"/>
      <c r="H87"/>
      <c r="I87"/>
      <c r="J87"/>
      <c r="K87"/>
      <c r="L87"/>
      <c r="M87"/>
      <c r="N87"/>
      <c r="O87"/>
      <c r="P87"/>
      <c r="Q87"/>
      <c r="R87"/>
    </row>
    <row r="88" spans="1:18">
      <c r="A88"/>
      <c r="B88"/>
      <c r="G88"/>
      <c r="H88"/>
      <c r="I88"/>
      <c r="J88"/>
      <c r="K88"/>
      <c r="L88"/>
      <c r="M88"/>
      <c r="N88"/>
      <c r="O88"/>
      <c r="P88"/>
      <c r="Q88"/>
      <c r="R88"/>
    </row>
    <row r="89" spans="1:18">
      <c r="A89"/>
      <c r="B89"/>
      <c r="G89"/>
      <c r="H89"/>
      <c r="I89"/>
      <c r="J89"/>
      <c r="K89"/>
      <c r="L89"/>
      <c r="M89"/>
      <c r="N89"/>
      <c r="O89"/>
      <c r="P89"/>
      <c r="Q89"/>
      <c r="R89"/>
    </row>
    <row r="90" spans="1:18">
      <c r="A90"/>
      <c r="B90"/>
      <c r="G90"/>
      <c r="H90"/>
      <c r="I90"/>
      <c r="J90"/>
      <c r="K90"/>
      <c r="L90"/>
      <c r="M90"/>
      <c r="N90"/>
      <c r="O90"/>
      <c r="P90"/>
      <c r="Q90"/>
      <c r="R90"/>
    </row>
    <row r="91" spans="1:18">
      <c r="A91"/>
      <c r="B91"/>
      <c r="G91"/>
      <c r="H91"/>
      <c r="I91"/>
      <c r="J91"/>
      <c r="K91"/>
      <c r="L91"/>
      <c r="M91"/>
      <c r="N91"/>
      <c r="O91"/>
      <c r="P91"/>
      <c r="Q91"/>
      <c r="R91"/>
    </row>
    <row r="92" spans="1:18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>
      <c r="B93"/>
      <c r="C93"/>
      <c r="D93"/>
      <c r="E93"/>
      <c r="F93"/>
      <c r="G93"/>
      <c r="H93"/>
      <c r="I93"/>
      <c r="J93"/>
      <c r="K93"/>
      <c r="L93"/>
      <c r="M93"/>
    </row>
    <row r="94" spans="1:18">
      <c r="B94"/>
      <c r="C94"/>
      <c r="D94"/>
      <c r="E94"/>
      <c r="F94"/>
      <c r="G94"/>
      <c r="H94"/>
      <c r="I94"/>
      <c r="J94"/>
      <c r="K94"/>
      <c r="L94"/>
      <c r="M94"/>
    </row>
    <row r="95" spans="1:18">
      <c r="B95"/>
      <c r="C95"/>
      <c r="D95"/>
      <c r="E95"/>
      <c r="F95"/>
      <c r="G95"/>
      <c r="H95"/>
      <c r="I95"/>
      <c r="J95"/>
      <c r="K95"/>
      <c r="L95"/>
      <c r="M95"/>
    </row>
    <row r="96" spans="1:18">
      <c r="B96"/>
      <c r="C96"/>
      <c r="D96"/>
      <c r="E96"/>
      <c r="F96"/>
      <c r="G96"/>
      <c r="H96"/>
      <c r="I96"/>
      <c r="J96"/>
      <c r="K96"/>
      <c r="L96"/>
      <c r="M96"/>
    </row>
    <row r="97" spans="2:13">
      <c r="B97"/>
      <c r="C97"/>
      <c r="D97"/>
      <c r="E97"/>
      <c r="F97"/>
      <c r="G97"/>
      <c r="H97"/>
      <c r="I97"/>
      <c r="J97"/>
      <c r="K97"/>
      <c r="L97"/>
      <c r="M97"/>
    </row>
    <row r="98" spans="2:13">
      <c r="B98"/>
      <c r="C98"/>
      <c r="D98"/>
      <c r="E98"/>
      <c r="F98"/>
      <c r="G98"/>
      <c r="H98"/>
      <c r="I98"/>
      <c r="J98"/>
      <c r="K98"/>
      <c r="L98"/>
      <c r="M98"/>
    </row>
    <row r="99" spans="2:13">
      <c r="B99"/>
      <c r="C99"/>
      <c r="D99"/>
      <c r="E99"/>
      <c r="F99"/>
      <c r="G99"/>
    </row>
    <row r="100" spans="2:13">
      <c r="B100"/>
      <c r="C100"/>
      <c r="D100"/>
      <c r="E100"/>
      <c r="F100"/>
      <c r="G100"/>
    </row>
    <row r="101" spans="2:13">
      <c r="B101"/>
      <c r="C101"/>
      <c r="D101"/>
      <c r="E101"/>
      <c r="F101"/>
      <c r="G101"/>
    </row>
    <row r="102" spans="2:13">
      <c r="B102"/>
      <c r="C102"/>
      <c r="D102"/>
      <c r="E102"/>
      <c r="F102"/>
      <c r="G102"/>
    </row>
    <row r="103" spans="2:13">
      <c r="B103"/>
      <c r="C103"/>
      <c r="D103"/>
      <c r="E103"/>
      <c r="F103"/>
      <c r="G103"/>
    </row>
    <row r="104" spans="2:13">
      <c r="B104"/>
      <c r="C104"/>
      <c r="D104"/>
      <c r="E104"/>
      <c r="F104"/>
      <c r="G104"/>
    </row>
    <row r="105" spans="2:13">
      <c r="B105"/>
      <c r="C105"/>
      <c r="D105"/>
      <c r="E105"/>
      <c r="F105"/>
      <c r="G105"/>
    </row>
    <row r="106" spans="2:13">
      <c r="B106"/>
      <c r="C106"/>
      <c r="D106"/>
      <c r="E106"/>
      <c r="F106"/>
      <c r="G106"/>
    </row>
    <row r="107" spans="2:13">
      <c r="B107"/>
      <c r="C107"/>
      <c r="D107"/>
      <c r="E107"/>
      <c r="F107"/>
      <c r="G107"/>
    </row>
    <row r="108" spans="2:13">
      <c r="B108"/>
      <c r="C108"/>
      <c r="D108"/>
      <c r="E108"/>
      <c r="F108"/>
      <c r="G108"/>
    </row>
    <row r="109" spans="2:13">
      <c r="B109"/>
      <c r="C109"/>
      <c r="D109"/>
      <c r="E109"/>
      <c r="F109"/>
      <c r="G109"/>
    </row>
    <row r="110" spans="2:13">
      <c r="B110"/>
      <c r="C110"/>
      <c r="D110"/>
      <c r="E110"/>
      <c r="F110"/>
      <c r="G110"/>
    </row>
    <row r="111" spans="2:13">
      <c r="B111"/>
      <c r="C111"/>
      <c r="D111"/>
      <c r="E111"/>
      <c r="F111"/>
      <c r="G111"/>
    </row>
    <row r="112" spans="2:13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  <row r="136" spans="2:7">
      <c r="B136"/>
      <c r="C136"/>
      <c r="D136"/>
      <c r="E136"/>
      <c r="F136"/>
      <c r="G136"/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  <row r="141" spans="2:7">
      <c r="B141"/>
      <c r="C141"/>
      <c r="D141"/>
      <c r="E141"/>
      <c r="F141"/>
      <c r="G141"/>
    </row>
    <row r="142" spans="2:7">
      <c r="B142"/>
      <c r="C142"/>
      <c r="D142"/>
      <c r="E142"/>
      <c r="F142"/>
      <c r="G142"/>
    </row>
    <row r="143" spans="2:7">
      <c r="B143"/>
      <c r="C143"/>
      <c r="D143"/>
      <c r="E143"/>
      <c r="F143"/>
      <c r="G143"/>
    </row>
    <row r="144" spans="2:7">
      <c r="B144"/>
      <c r="C144"/>
      <c r="D144"/>
      <c r="E144"/>
      <c r="F144"/>
      <c r="G144"/>
    </row>
    <row r="145" spans="2:7">
      <c r="B145"/>
      <c r="C145"/>
      <c r="D145"/>
      <c r="E145"/>
      <c r="F145"/>
      <c r="G145"/>
    </row>
    <row r="146" spans="2:7">
      <c r="B146"/>
      <c r="C146"/>
      <c r="D146"/>
      <c r="E146"/>
      <c r="F146"/>
      <c r="G146"/>
    </row>
    <row r="147" spans="2:7">
      <c r="B147"/>
      <c r="C147"/>
      <c r="D147"/>
      <c r="E147"/>
      <c r="F147"/>
      <c r="G147"/>
    </row>
    <row r="148" spans="2:7">
      <c r="B148"/>
      <c r="C148"/>
      <c r="D148"/>
      <c r="E148"/>
      <c r="F148"/>
      <c r="G148"/>
    </row>
    <row r="149" spans="2:7">
      <c r="B149"/>
      <c r="C149"/>
      <c r="D149"/>
      <c r="E149"/>
      <c r="F149"/>
      <c r="G149"/>
    </row>
    <row r="150" spans="2:7">
      <c r="B150"/>
      <c r="C150"/>
      <c r="D150"/>
      <c r="E150"/>
      <c r="F150"/>
      <c r="G150"/>
    </row>
    <row r="151" spans="2:7">
      <c r="B151"/>
      <c r="C151"/>
      <c r="D151"/>
      <c r="E151"/>
      <c r="F151"/>
      <c r="G151"/>
    </row>
    <row r="152" spans="2:7">
      <c r="B152"/>
      <c r="C152"/>
      <c r="D152"/>
      <c r="E152"/>
      <c r="F152"/>
      <c r="G152"/>
    </row>
    <row r="153" spans="2:7"/>
    <row r="154" spans="2:7"/>
  </sheetData>
  <mergeCells count="6">
    <mergeCell ref="AD2:AF2"/>
    <mergeCell ref="D1:E1"/>
    <mergeCell ref="F1:G1"/>
    <mergeCell ref="H1:O1"/>
    <mergeCell ref="P1:V1"/>
    <mergeCell ref="Y2:AB2"/>
  </mergeCells>
  <phoneticPr fontId="2" type="noConversion"/>
  <pageMargins left="0.7" right="0.7" top="0.75" bottom="0.75" header="0.3" footer="0.3"/>
  <pageSetup paperSize="1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IRSDocument" ma:contentTypeID="0x01010013444768F072BA42AAA97EAB93616A38005F4C4BA008CA444A9E36E986440572B7" ma:contentTypeVersion="12" ma:contentTypeDescription="Create a new document." ma:contentTypeScope="" ma:versionID="83dbb95524be73f04f18fe9e8e070168">
  <xsd:schema xmlns:xsd="http://www.w3.org/2001/XMLSchema" xmlns:xs="http://www.w3.org/2001/XMLSchema" xmlns:p="http://schemas.microsoft.com/office/2006/metadata/properties" xmlns:ns1="http://schemas.microsoft.com/sharepoint/v3" xmlns:ns2="72446219-904e-4381-acbf-f49564c2b360" xmlns:ns3="bab7d757-6608-42d3-9752-20f2353d6621" xmlns:ns4="352caa7f-0196-4b56-a6e1-0544520fd08f" xmlns:ns5="a6b07088-3d44-4fa6-9cbb-eb0facf20001" targetNamespace="http://schemas.microsoft.com/office/2006/metadata/properties" ma:root="true" ma:fieldsID="4f0248bc565bd5b83e0e8458cec23a94" ns1:_="" ns2:_="" ns3:_="" ns4:_="" ns5:_="">
    <xsd:import namespace="http://schemas.microsoft.com/sharepoint/v3"/>
    <xsd:import namespace="72446219-904e-4381-acbf-f49564c2b360"/>
    <xsd:import namespace="bab7d757-6608-42d3-9752-20f2353d6621"/>
    <xsd:import namespace="352caa7f-0196-4b56-a6e1-0544520fd08f"/>
    <xsd:import namespace="a6b07088-3d44-4fa6-9cbb-eb0facf20001"/>
    <xsd:element name="properties">
      <xsd:complexType>
        <xsd:sequence>
          <xsd:element name="documentManagement">
            <xsd:complexType>
              <xsd:all>
                <xsd:element ref="ns2:PIRSDocumentStatus" minOccurs="0"/>
                <xsd:element ref="ns2:PIRSDocumentComments" minOccurs="0"/>
                <xsd:element ref="ns3:PIRSDraftStatus" minOccurs="0"/>
                <xsd:element ref="ns3:PIRSResubmitRejection" minOccurs="0"/>
                <xsd:element ref="ns3:PSTJobID" minOccurs="0"/>
                <xsd:element ref="ns3:PSTJobStartTime" minOccurs="0"/>
                <xsd:element ref="ns1:_dlc_ExpireDate" minOccurs="0"/>
                <xsd:element ref="ns4:Document_x0020_approval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" ma:index="14" nillable="true" ma:displayName="Expiration Date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46219-904e-4381-acbf-f49564c2b360" elementFormDefault="qualified">
    <xsd:import namespace="http://schemas.microsoft.com/office/2006/documentManagement/types"/>
    <xsd:import namespace="http://schemas.microsoft.com/office/infopath/2007/PartnerControls"/>
    <xsd:element name="PIRSDocumentStatus" ma:index="8" nillable="true" ma:displayName="PIRSDocumentStatus" ma:default="Pending for review submission" ma:format="Dropdown" ma:internalName="PIRSDocumentStatus">
      <xsd:simpleType>
        <xsd:restriction base="dms:Choice">
          <xsd:enumeration value="Pending for processing"/>
          <xsd:enumeration value="Pending for review submission"/>
          <xsd:enumeration value="Pending for review"/>
          <xsd:enumeration value="Approved"/>
          <xsd:enumeration value="Rejected"/>
          <xsd:enumeration value="Rejection Accepted"/>
        </xsd:restriction>
      </xsd:simpleType>
    </xsd:element>
    <xsd:element name="PIRSDocumentComments" ma:index="9" nillable="true" ma:displayName="PIRSDocumentComments" ma:internalName="PIRSDocument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7d757-6608-42d3-9752-20f2353d6621" elementFormDefault="qualified">
    <xsd:import namespace="http://schemas.microsoft.com/office/2006/documentManagement/types"/>
    <xsd:import namespace="http://schemas.microsoft.com/office/infopath/2007/PartnerControls"/>
    <xsd:element name="PIRSDraftStatus" ma:index="10" nillable="true" ma:displayName="PIRSDraftStatus" ma:default="0" ma:internalName="PIRSDraftStatus">
      <xsd:simpleType>
        <xsd:restriction base="dms:Boolean"/>
      </xsd:simpleType>
    </xsd:element>
    <xsd:element name="PIRSResubmitRejection" ma:index="11" nillable="true" ma:displayName="PIRSResubmitRejection" ma:default="0" ma:internalName="PIRSResubmitRejection">
      <xsd:simpleType>
        <xsd:restriction base="dms:Boolean"/>
      </xsd:simpleType>
    </xsd:element>
    <xsd:element name="PSTJobID" ma:index="12" nillable="true" ma:displayName="PSTJobID" ma:internalName="PSTJobID">
      <xsd:simpleType>
        <xsd:restriction base="dms:Text">
          <xsd:maxLength value="255"/>
        </xsd:restriction>
      </xsd:simpleType>
    </xsd:element>
    <xsd:element name="PSTJobStartTime" ma:index="13" nillable="true" ma:displayName="PSTJobStartTime" ma:format="DateTime" ma:internalName="PSTJobStart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caa7f-0196-4b56-a6e1-0544520fd08f" elementFormDefault="qualified">
    <xsd:import namespace="http://schemas.microsoft.com/office/2006/documentManagement/types"/>
    <xsd:import namespace="http://schemas.microsoft.com/office/infopath/2007/PartnerControls"/>
    <xsd:element name="Document_x0020_approval" ma:index="15" nillable="true" ma:displayName="Document approval" ma:internalName="Document_x0020_approva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07088-3d44-4fa6-9cbb-eb0facf20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approval xmlns="352caa7f-0196-4b56-a6e1-0544520fd08f">
      <Url xsi:nil="true"/>
      <Description xsi:nil="true"/>
    </Document_x0020_approval>
    <PSTJobID xmlns="bab7d757-6608-42d3-9752-20f2353d6621" xsi:nil="true"/>
    <PIRSDocumentStatus xmlns="72446219-904e-4381-acbf-f49564c2b360">Approved</PIRSDocumentStatus>
    <PIRSDocumentComments xmlns="72446219-904e-4381-acbf-f49564c2b360" xsi:nil="true"/>
    <PIRSResubmitRejection xmlns="bab7d757-6608-42d3-9752-20f2353d6621">false</PIRSResubmitRejection>
    <PSTJobStartTime xmlns="bab7d757-6608-42d3-9752-20f2353d6621" xsi:nil="true"/>
    <PIRSDraftStatus xmlns="bab7d757-6608-42d3-9752-20f2353d6621">false</PIRSDraftStatus>
  </documentManagement>
</p:properties>
</file>

<file path=customXml/itemProps1.xml><?xml version="1.0" encoding="utf-8"?>
<ds:datastoreItem xmlns:ds="http://schemas.openxmlformats.org/officeDocument/2006/customXml" ds:itemID="{DF69946A-B7EF-44CD-AA1D-8FEBD23B8402}"/>
</file>

<file path=customXml/itemProps2.xml><?xml version="1.0" encoding="utf-8"?>
<ds:datastoreItem xmlns:ds="http://schemas.openxmlformats.org/officeDocument/2006/customXml" ds:itemID="{6F471F27-B5A0-423D-98CD-5EC9ED3F324B}"/>
</file>

<file path=customXml/itemProps3.xml><?xml version="1.0" encoding="utf-8"?>
<ds:datastoreItem xmlns:ds="http://schemas.openxmlformats.org/officeDocument/2006/customXml" ds:itemID="{7B55ADC2-8365-476B-ACFA-B63C8AFF7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Macias Gini &amp; O'Connell LLP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Shawn Yoon</dc:creator>
  <cp:keywords/>
  <dc:description/>
  <cp:lastModifiedBy>Shawn Yoon</cp:lastModifiedBy>
  <cp:revision/>
  <dcterms:created xsi:type="dcterms:W3CDTF">2013-10-07T18:18:20Z</dcterms:created>
  <dcterms:modified xsi:type="dcterms:W3CDTF">2026-06-08T16:58:31Z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0x01010013444768F072BA42AAA97EAB93616A38005F4C4BA008CA444A9E36E986440572B7</vt:lpwstr>
  </property>
</Properties>
</file>